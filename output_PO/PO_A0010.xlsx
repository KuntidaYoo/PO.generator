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[$-1070000]d/m/yy;@"/>
    <numFmt numFmtId="165" formatCode="_ [$¥-804]* #,##0.00_ ;_ [$¥-804]* \-#,##0.00_ ;_ [$¥-804]* &quot;-&quot;??_ ;_ @_ "/>
    <numFmt numFmtId="166" formatCode="_-[$฿-41E]* #,##0_-;\-[$฿-41E]* #,##0_-;_-[$฿-41E]* &quot;-&quot;??_-;_-@_-"/>
    <numFmt numFmtId="167" formatCode="_(* #,##0_);_(* \(#,##0\);_(* &quot;-&quot;??_);_(@_)"/>
    <numFmt numFmtId="168" formatCode="&quot;￥&quot;#,##0.0_);[Red]\(&quot;￥&quot;#,##0.0\)"/>
    <numFmt numFmtId="169" formatCode="_ [$¥-804]* #,##0.000_ ;_ [$¥-804]* \-#,##0.000_ ;_ [$¥-804]* &quot;-&quot;???_ ;_ @_ "/>
    <numFmt numFmtId="170" formatCode="_-* #,##0.00_-;\-* #,##0.00_-;_-* &quot;-&quot;??_-;_-@_-"/>
    <numFmt numFmtId="171" formatCode="_-[$฿-41E]* #,##0.00_-;\-[$฿-41E]* #,##0.00_-;_-[$฿-41E]* &quot;-&quot;??_-;_-@_-"/>
    <numFmt numFmtId="172" formatCode="[$¥-804]#,##0.00"/>
    <numFmt numFmtId="173" formatCode="_(&quot;$&quot;* #,##0.00_);_(&quot;$&quot;* \(#,##0.00\);_(&quot;$&quot;* &quot;-&quot;??_);_(@_)"/>
  </numFmts>
  <fonts count="47">
    <font>
      <name val="Calibri"/>
      <family val="2"/>
      <color theme="1"/>
      <sz val="11"/>
      <scheme val="minor"/>
    </font>
    <font>
      <name val="Cordia New"/>
      <family val="2"/>
      <sz val="14"/>
    </font>
    <font>
      <name val="Arial"/>
      <family val="2"/>
      <b val="1"/>
      <sz val="14"/>
    </font>
    <font>
      <name val="Times New Roman"/>
      <family val="1"/>
      <b val="1"/>
      <sz val="20"/>
    </font>
    <font>
      <name val="Sukhumvit Set"/>
      <b val="1"/>
      <sz val="24"/>
    </font>
    <font>
      <name val="Arial"/>
      <family val="2"/>
      <sz val="14"/>
    </font>
    <font>
      <name val="Arial"/>
      <family val="2"/>
      <b val="1"/>
      <color rgb="FFFF0000"/>
      <sz val="14"/>
    </font>
    <font>
      <name val="Times New Roman"/>
      <family val="1"/>
      <b val="1"/>
      <sz val="18"/>
    </font>
    <font>
      <name val="Tahoma"/>
      <family val="2"/>
      <b val="1"/>
      <sz val="18"/>
    </font>
    <font>
      <name val="Sukhumvit Set"/>
      <sz val="16"/>
    </font>
    <font>
      <name val="Times New Roman"/>
      <family val="1"/>
      <sz val="18"/>
    </font>
    <font>
      <name val="Tahoma"/>
      <family val="2"/>
      <sz val="16"/>
    </font>
    <font>
      <name val="Times New Roman"/>
      <family val="1"/>
      <sz val="16"/>
    </font>
    <font>
      <name val="Times New Roman"/>
      <family val="1"/>
      <sz val="14"/>
    </font>
    <font>
      <name val="Arial"/>
      <family val="2"/>
      <b val="1"/>
      <sz val="20"/>
    </font>
    <font>
      <name val="Arial"/>
      <family val="2"/>
      <sz val="10"/>
    </font>
    <font>
      <name val="Arial"/>
      <family val="2"/>
      <sz val="18"/>
    </font>
    <font>
      <name val="Arial"/>
      <family val="2"/>
      <b val="1"/>
      <sz val="18"/>
    </font>
    <font>
      <name val="Arial"/>
      <family val="2"/>
      <sz val="20"/>
    </font>
    <font>
      <name val="Arial"/>
      <family val="2"/>
      <b val="1"/>
      <color rgb="FFFF0000"/>
      <sz val="18"/>
    </font>
    <font>
      <name val="Angsana New"/>
      <family val="1"/>
      <sz val="18"/>
    </font>
    <font>
      <name val="Arial"/>
      <family val="2"/>
      <b val="1"/>
      <sz val="16"/>
    </font>
    <font>
      <name val="Arial"/>
      <family val="2"/>
      <b val="1"/>
      <color rgb="FFFF0000"/>
      <sz val="16"/>
    </font>
    <font>
      <name val="Angsana New"/>
      <family val="1"/>
      <sz val="12"/>
    </font>
    <font>
      <name val="Arial"/>
      <family val="2"/>
      <sz val="16"/>
    </font>
    <font>
      <name val="Arial"/>
      <family val="2"/>
      <color rgb="FFFF0000"/>
      <sz val="18"/>
    </font>
    <font>
      <name val="Calibri"/>
      <charset val="222"/>
      <family val="2"/>
      <color theme="1"/>
      <sz val="11"/>
      <scheme val="minor"/>
    </font>
    <font>
      <name val="Angsana New"/>
      <family val="1"/>
      <sz val="16"/>
    </font>
    <font>
      <name val="宋体"/>
      <charset val="134"/>
      <color indexed="8"/>
      <sz val="11"/>
    </font>
    <font>
      <name val="Arial"/>
      <family val="2"/>
      <b val="1"/>
      <color indexed="8"/>
      <sz val="11"/>
    </font>
    <font>
      <name val="Times New Roman"/>
      <family val="1"/>
      <b val="1"/>
      <color indexed="8"/>
      <sz val="16"/>
    </font>
    <font>
      <name val="Tahoma"/>
      <family val="2"/>
      <color indexed="8"/>
      <sz val="11"/>
    </font>
    <font>
      <name val="Arail"/>
      <charset val="222"/>
      <b val="1"/>
      <sz val="16"/>
      <u val="single"/>
    </font>
    <font>
      <name val="ArAIL"/>
      <charset val="222"/>
      <sz val="16"/>
    </font>
    <font>
      <name val="ArAIL"/>
      <charset val="222"/>
      <sz val="14"/>
    </font>
    <font>
      <name val="Arail"/>
      <charset val="222"/>
      <b val="1"/>
      <color rgb="FFFF0000"/>
      <sz val="18"/>
    </font>
    <font>
      <name val="Arail"/>
      <charset val="222"/>
      <b val="1"/>
      <sz val="16"/>
    </font>
    <font>
      <name val="Arail"/>
      <charset val="222"/>
      <b val="1"/>
      <sz val="20"/>
    </font>
    <font>
      <name val="Angsana New"/>
      <family val="1"/>
      <b val="1"/>
      <color rgb="FFFF0000"/>
      <sz val="16"/>
    </font>
    <font>
      <name val="Arail"/>
      <charset val="222"/>
      <b val="1"/>
      <sz val="18"/>
    </font>
    <font>
      <name val="Angsana New"/>
      <family val="1"/>
      <b val="1"/>
      <color rgb="FFFF0000"/>
      <sz val="12"/>
    </font>
    <font>
      <name val="Angsana New"/>
      <family val="1"/>
      <b val="1"/>
      <sz val="12"/>
    </font>
    <font>
      <name val="Arial"/>
      <family val="2"/>
      <b val="1"/>
      <color rgb="FFFF0000"/>
      <sz val="24"/>
    </font>
    <font>
      <name val="Arail"/>
      <charset val="222"/>
      <sz val="20"/>
    </font>
    <font>
      <name val="Angsana New"/>
      <family val="1"/>
      <sz val="24"/>
    </font>
    <font>
      <name val="Arial"/>
      <family val="2"/>
      <b val="1"/>
      <color indexed="8"/>
      <sz val="18"/>
    </font>
    <font>
      <b val="1"/>
      <color rgb="00FF0000"/>
      <sz val="1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FFFF"/>
        <bgColor indexed="64"/>
      </patternFill>
    </fill>
    <fill>
      <patternFill patternType="solid">
        <fgColor rgb="FFA4FAD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/>
      <diagonal/>
    </border>
    <border>
      <left style="thin">
        <color auto="1"/>
      </left>
      <right/>
      <top style="thin">
        <color auto="1"/>
      </top>
      <bottom style="thin"/>
      <diagonal/>
    </border>
    <border>
      <left/>
      <right/>
      <top style="thin">
        <color auto="1"/>
      </top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/>
      <diagonal/>
    </border>
    <border>
      <left style="thin">
        <color auto="1"/>
      </left>
      <right style="medium">
        <color auto="1"/>
      </right>
      <top style="thin">
        <color auto="1"/>
      </top>
      <bottom style="thin"/>
      <diagonal/>
    </border>
    <border>
      <left/>
      <right style="thin">
        <color auto="1"/>
      </right>
      <top style="thin">
        <color auto="1"/>
      </top>
      <bottom style="thin"/>
      <diagonal/>
    </border>
  </borders>
  <cellStyleXfs count="11">
    <xf numFmtId="0" fontId="0" fillId="0" borderId="0"/>
    <xf numFmtId="164" fontId="1" fillId="0" borderId="0"/>
    <xf numFmtId="169" fontId="1" fillId="0" borderId="0"/>
    <xf numFmtId="164" fontId="15" fillId="0" borderId="0"/>
    <xf numFmtId="43" fontId="1" fillId="0" borderId="0"/>
    <xf numFmtId="173" fontId="26" fillId="0" borderId="0"/>
    <xf numFmtId="43" fontId="26" fillId="0" borderId="0"/>
    <xf numFmtId="169" fontId="15" fillId="0" borderId="0"/>
    <xf numFmtId="0" fontId="26" fillId="0" borderId="0"/>
    <xf numFmtId="169" fontId="28" fillId="0" borderId="0" applyAlignment="1">
      <alignment vertical="center"/>
    </xf>
    <xf numFmtId="164" fontId="31" fillId="0" borderId="0"/>
  </cellStyleXfs>
  <cellXfs count="173">
    <xf numFmtId="0" fontId="0" fillId="0" borderId="0" pivotButton="0" quotePrefix="0" xfId="0"/>
    <xf numFmtId="49" fontId="3" fillId="0" borderId="0" applyAlignment="1" pivotButton="0" quotePrefix="0" xfId="1">
      <alignment horizontal="left"/>
    </xf>
    <xf numFmtId="0" fontId="3" fillId="0" borderId="0" applyAlignment="1" pivotButton="0" quotePrefix="0" xfId="2">
      <alignment vertical="center"/>
    </xf>
    <xf numFmtId="49" fontId="5" fillId="0" borderId="0" pivotButton="0" quotePrefix="0" xfId="1"/>
    <xf numFmtId="49" fontId="2" fillId="0" borderId="0" pivotButton="0" quotePrefix="0" xfId="1"/>
    <xf numFmtId="49" fontId="2" fillId="2" borderId="0" pivotButton="0" quotePrefix="0" xfId="1"/>
    <xf numFmtId="49" fontId="6" fillId="2" borderId="0" pivotButton="0" quotePrefix="0" xfId="1"/>
    <xf numFmtId="49" fontId="6" fillId="0" borderId="0" pivotButton="0" quotePrefix="0" xfId="1"/>
    <xf numFmtId="49" fontId="7" fillId="0" borderId="0" applyAlignment="1" pivotButton="0" quotePrefix="0" xfId="1">
      <alignment horizontal="left"/>
    </xf>
    <xf numFmtId="0" fontId="8" fillId="0" borderId="0" applyAlignment="1" pivotButton="0" quotePrefix="0" xfId="2">
      <alignment vertical="center"/>
    </xf>
    <xf numFmtId="0" fontId="9" fillId="0" borderId="0" applyAlignment="1" pivotButton="0" quotePrefix="0" xfId="2">
      <alignment vertical="center"/>
    </xf>
    <xf numFmtId="49" fontId="10" fillId="0" borderId="0" applyAlignment="1" pivotButton="0" quotePrefix="0" xfId="1">
      <alignment horizontal="left"/>
    </xf>
    <xf numFmtId="0" fontId="11" fillId="0" borderId="0" applyAlignment="1" pivotButton="0" quotePrefix="0" xfId="2">
      <alignment vertical="center"/>
    </xf>
    <xf numFmtId="49" fontId="12" fillId="0" borderId="0" pivotButton="0" quotePrefix="0" xfId="1"/>
    <xf numFmtId="0" fontId="13" fillId="0" borderId="1" applyAlignment="1" pivotButton="0" quotePrefix="0" xfId="2">
      <alignment vertical="center"/>
    </xf>
    <xf numFmtId="0" fontId="9" fillId="0" borderId="1" applyAlignment="1" pivotButton="0" quotePrefix="0" xfId="2">
      <alignment vertical="center"/>
    </xf>
    <xf numFmtId="49" fontId="14" fillId="0" borderId="0" applyAlignment="1" pivotButton="0" quotePrefix="0" xfId="1">
      <alignment horizontal="center" vertical="center"/>
    </xf>
    <xf numFmtId="49" fontId="16" fillId="0" borderId="0" pivotButton="0" quotePrefix="0" xfId="3"/>
    <xf numFmtId="49" fontId="17" fillId="0" borderId="0" applyAlignment="1" pivotButton="0" quotePrefix="0" xfId="3">
      <alignment horizontal="center"/>
    </xf>
    <xf numFmtId="49" fontId="17" fillId="0" borderId="0" pivotButton="0" quotePrefix="0" xfId="3"/>
    <xf numFmtId="49" fontId="17" fillId="0" borderId="0" applyAlignment="1" pivotButton="0" quotePrefix="0" xfId="3">
      <alignment horizontal="left"/>
    </xf>
    <xf numFmtId="49" fontId="14" fillId="0" borderId="0" applyAlignment="1" pivotButton="0" quotePrefix="0" xfId="3">
      <alignment horizontal="left"/>
    </xf>
    <xf numFmtId="164" fontId="18" fillId="0" borderId="0" applyAlignment="1" pivotButton="0" quotePrefix="0" xfId="3">
      <alignment horizontal="left"/>
    </xf>
    <xf numFmtId="49" fontId="19" fillId="0" borderId="0" pivotButton="0" quotePrefix="0" xfId="3"/>
    <xf numFmtId="49" fontId="20" fillId="0" borderId="0" pivotButton="0" quotePrefix="0" xfId="3"/>
    <xf numFmtId="49" fontId="17" fillId="0" borderId="1" applyAlignment="1" pivotButton="0" quotePrefix="0" xfId="3">
      <alignment horizontal="center" vertical="center"/>
    </xf>
    <xf numFmtId="49" fontId="16" fillId="0" borderId="1" pivotButton="0" quotePrefix="0" xfId="3"/>
    <xf numFmtId="49" fontId="16" fillId="0" borderId="1" applyAlignment="1" pivotButton="0" quotePrefix="0" xfId="3">
      <alignment horizontal="center" vertical="center"/>
    </xf>
    <xf numFmtId="49" fontId="17" fillId="2" borderId="1" pivotButton="0" quotePrefix="0" xfId="3"/>
    <xf numFmtId="49" fontId="21" fillId="3" borderId="5" applyAlignment="1" pivotButton="0" quotePrefix="0" xfId="3">
      <alignment horizontal="center" vertical="center" wrapText="1" shrinkToFit="1"/>
    </xf>
    <xf numFmtId="49" fontId="21" fillId="5" borderId="9" applyAlignment="1" pivotButton="0" quotePrefix="0" xfId="3">
      <alignment horizontal="center" vertical="center" wrapText="1" shrinkToFit="1"/>
    </xf>
    <xf numFmtId="49" fontId="21" fillId="6" borderId="9" applyAlignment="1" pivotButton="0" quotePrefix="0" xfId="3">
      <alignment horizontal="center" vertical="center" wrapText="1" shrinkToFit="1"/>
    </xf>
    <xf numFmtId="49" fontId="21" fillId="2" borderId="5" applyAlignment="1" pivotButton="0" quotePrefix="0" xfId="4">
      <alignment horizontal="center" vertical="center" wrapText="1" shrinkToFit="1"/>
    </xf>
    <xf numFmtId="49" fontId="22" fillId="2" borderId="5" applyAlignment="1" pivotButton="0" quotePrefix="0" xfId="4">
      <alignment horizontal="center" vertical="center" wrapText="1" shrinkToFit="1"/>
    </xf>
    <xf numFmtId="49" fontId="2" fillId="2" borderId="5" applyAlignment="1" pivotButton="0" quotePrefix="0" xfId="4">
      <alignment horizontal="center" vertical="center" wrapText="1" shrinkToFit="1"/>
    </xf>
    <xf numFmtId="49" fontId="23" fillId="0" borderId="0" applyAlignment="1" pivotButton="0" quotePrefix="0" xfId="3">
      <alignment horizontal="center" wrapText="1" shrinkToFit="1"/>
    </xf>
    <xf numFmtId="49" fontId="12" fillId="0" borderId="0" applyAlignment="1" pivotButton="0" quotePrefix="0" xfId="3">
      <alignment horizontal="center" wrapText="1" shrinkToFit="1"/>
    </xf>
    <xf numFmtId="49" fontId="24" fillId="0" borderId="5" applyAlignment="1" pivotButton="0" quotePrefix="0" xfId="1">
      <alignment vertical="center" wrapText="1"/>
    </xf>
    <xf numFmtId="49" fontId="24" fillId="0" borderId="5" applyAlignment="1" pivotButton="0" quotePrefix="0" xfId="1">
      <alignment horizontal="center" vertical="center" wrapText="1"/>
    </xf>
    <xf numFmtId="0" fontId="16" fillId="2" borderId="5" applyAlignment="1" pivotButton="0" quotePrefix="0" xfId="3">
      <alignment horizontal="center" vertical="center" wrapText="1" shrinkToFit="1"/>
    </xf>
    <xf numFmtId="0" fontId="16" fillId="2" borderId="8" applyAlignment="1" pivotButton="0" quotePrefix="0" xfId="3">
      <alignment horizontal="center" vertical="center" wrapText="1" shrinkToFit="1"/>
    </xf>
    <xf numFmtId="165" fontId="16" fillId="2" borderId="7" applyAlignment="1" pivotButton="0" quotePrefix="0" xfId="5">
      <alignment horizontal="center" vertical="center" wrapText="1" shrinkToFit="1"/>
    </xf>
    <xf numFmtId="166" fontId="16" fillId="0" borderId="5" applyAlignment="1" pivotButton="0" quotePrefix="0" xfId="5">
      <alignment horizontal="center" vertical="center"/>
    </xf>
    <xf numFmtId="1" fontId="16" fillId="3" borderId="5" applyAlignment="1" pivotButton="0" quotePrefix="0" xfId="3">
      <alignment horizontal="center" vertical="center" wrapText="1" shrinkToFit="1"/>
    </xf>
    <xf numFmtId="1" fontId="16" fillId="5" borderId="5" applyAlignment="1" pivotButton="0" quotePrefix="0" xfId="3">
      <alignment horizontal="center" vertical="center"/>
    </xf>
    <xf numFmtId="167" fontId="16" fillId="6" borderId="5" applyAlignment="1" pivotButton="0" quotePrefix="0" xfId="6">
      <alignment vertical="center"/>
    </xf>
    <xf numFmtId="1" fontId="16" fillId="0" borderId="5" applyAlignment="1" pivotButton="0" quotePrefix="0" xfId="6">
      <alignment horizontal="center" vertical="center"/>
    </xf>
    <xf numFmtId="167" fontId="25" fillId="0" borderId="5" applyAlignment="1" pivotButton="0" quotePrefix="0" xfId="6">
      <alignment horizontal="center" vertical="center"/>
    </xf>
    <xf numFmtId="49" fontId="24" fillId="0" borderId="9" applyAlignment="1" pivotButton="0" quotePrefix="0" xfId="3">
      <alignment horizontal="center" vertical="center" wrapText="1" shrinkToFit="1"/>
    </xf>
    <xf numFmtId="49" fontId="24" fillId="2" borderId="5" applyAlignment="1" pivotButton="0" quotePrefix="0" xfId="3">
      <alignment horizontal="left" vertical="center" wrapText="1" shrinkToFit="1"/>
    </xf>
    <xf numFmtId="49" fontId="16" fillId="2" borderId="5" applyAlignment="1" pivotButton="0" quotePrefix="0" xfId="3">
      <alignment horizontal="center" vertical="center" wrapText="1" shrinkToFit="1"/>
    </xf>
    <xf numFmtId="165" fontId="16" fillId="2" borderId="11" applyAlignment="1" pivotButton="0" quotePrefix="0" xfId="5">
      <alignment horizontal="center" vertical="center" wrapText="1" shrinkToFit="1"/>
    </xf>
    <xf numFmtId="49" fontId="27" fillId="0" borderId="0" pivotButton="0" quotePrefix="0" xfId="3"/>
    <xf numFmtId="49" fontId="27" fillId="0" borderId="8" pivotButton="0" quotePrefix="0" xfId="3"/>
    <xf numFmtId="49" fontId="24" fillId="2" borderId="6" applyAlignment="1" pivotButton="0" quotePrefix="0" xfId="3">
      <alignment horizontal="left" vertical="center" wrapText="1" shrinkToFit="1"/>
    </xf>
    <xf numFmtId="49" fontId="16" fillId="0" borderId="5" applyAlignment="1" pivotButton="0" quotePrefix="0" xfId="1">
      <alignment horizontal="center" vertical="center" wrapText="1"/>
    </xf>
    <xf numFmtId="49" fontId="24" fillId="0" borderId="5" applyAlignment="1" pivotButton="0" quotePrefix="0" xfId="3">
      <alignment horizontal="center" vertical="center" wrapText="1" shrinkToFit="1"/>
    </xf>
    <xf numFmtId="0" fontId="16" fillId="0" borderId="5" applyAlignment="1" pivotButton="0" quotePrefix="0" xfId="7">
      <alignment horizontal="center" vertical="center" wrapText="1" shrinkToFit="1"/>
    </xf>
    <xf numFmtId="0" fontId="24" fillId="0" borderId="5" applyAlignment="1" pivotButton="0" quotePrefix="0" xfId="8">
      <alignment horizontal="left" vertical="center" wrapText="1"/>
    </xf>
    <xf numFmtId="49" fontId="16" fillId="0" borderId="5" applyAlignment="1" pivotButton="0" quotePrefix="0" xfId="8">
      <alignment horizontal="center" vertical="center" wrapText="1"/>
    </xf>
    <xf numFmtId="168" fontId="16" fillId="0" borderId="5" applyAlignment="1" pivotButton="0" quotePrefix="0" xfId="8">
      <alignment horizontal="center" vertical="center" wrapText="1"/>
    </xf>
    <xf numFmtId="1" fontId="16" fillId="2" borderId="5" applyAlignment="1" pivotButton="0" quotePrefix="0" xfId="7">
      <alignment horizontal="center" vertical="center" wrapText="1" shrinkToFit="1"/>
    </xf>
    <xf numFmtId="3" fontId="16" fillId="3" borderId="5" applyAlignment="1" pivotButton="0" quotePrefix="0" xfId="7">
      <alignment horizontal="center" vertical="center" wrapText="1" shrinkToFit="1"/>
    </xf>
    <xf numFmtId="167" fontId="24" fillId="6" borderId="5" applyAlignment="1" pivotButton="0" quotePrefix="0" xfId="6">
      <alignment vertical="center"/>
    </xf>
    <xf numFmtId="169" fontId="29" fillId="7" borderId="0" applyAlignment="1" pivotButton="0" quotePrefix="0" xfId="9">
      <alignment vertical="center"/>
    </xf>
    <xf numFmtId="49" fontId="32" fillId="0" borderId="0" applyAlignment="1" pivotButton="0" quotePrefix="0" xfId="3">
      <alignment horizontal="center" vertical="center"/>
    </xf>
    <xf numFmtId="49" fontId="33" fillId="0" borderId="0" applyAlignment="1" pivotButton="0" quotePrefix="0" xfId="10">
      <alignment vertical="center"/>
    </xf>
    <xf numFmtId="49" fontId="33" fillId="0" borderId="0" pivotButton="0" quotePrefix="0" xfId="3"/>
    <xf numFmtId="49" fontId="33" fillId="0" borderId="0" applyAlignment="1" pivotButton="0" quotePrefix="0" xfId="3">
      <alignment vertical="center"/>
    </xf>
    <xf numFmtId="49" fontId="38" fillId="0" borderId="0" pivotButton="0" quotePrefix="0" xfId="3"/>
    <xf numFmtId="49" fontId="23" fillId="0" borderId="0" pivotButton="0" quotePrefix="0" xfId="3"/>
    <xf numFmtId="49" fontId="40" fillId="0" borderId="0" pivotButton="0" quotePrefix="0" xfId="3"/>
    <xf numFmtId="49" fontId="42" fillId="0" borderId="0" pivotButton="0" quotePrefix="0" xfId="3"/>
    <xf numFmtId="49" fontId="25" fillId="0" borderId="1" applyAlignment="1" pivotButton="0" quotePrefix="0" xfId="3">
      <alignment vertical="center"/>
    </xf>
    <xf numFmtId="49" fontId="23" fillId="0" borderId="0" applyAlignment="1" pivotButton="0" quotePrefix="0" xfId="3">
      <alignment horizontal="center"/>
    </xf>
    <xf numFmtId="49" fontId="23" fillId="0" borderId="0" applyAlignment="1" pivotButton="0" quotePrefix="0" xfId="3">
      <alignment horizontal="center" vertical="center"/>
    </xf>
    <xf numFmtId="49" fontId="41" fillId="0" borderId="0" pivotButton="0" quotePrefix="0" xfId="3"/>
    <xf numFmtId="49" fontId="23" fillId="0" borderId="0" pivotButton="0" quotePrefix="0" xfId="4"/>
    <xf numFmtId="49" fontId="41" fillId="0" borderId="0" pivotButton="0" quotePrefix="0" xfId="4"/>
    <xf numFmtId="49" fontId="40" fillId="0" borderId="0" pivotButton="0" quotePrefix="0" xfId="4"/>
    <xf numFmtId="49" fontId="2" fillId="9" borderId="6" applyAlignment="1" pivotButton="0" quotePrefix="0" xfId="3">
      <alignment horizontal="center" vertical="center" wrapText="1" shrinkToFit="1"/>
    </xf>
    <xf numFmtId="49" fontId="21" fillId="9" borderId="6" applyAlignment="1" pivotButton="0" quotePrefix="0" xfId="3">
      <alignment horizontal="center" vertical="center" wrapText="1" shrinkToFit="1"/>
    </xf>
    <xf numFmtId="49" fontId="2" fillId="9" borderId="5" applyAlignment="1" pivotButton="0" quotePrefix="0" xfId="3">
      <alignment horizontal="center" vertical="center" wrapText="1" shrinkToFit="1"/>
    </xf>
    <xf numFmtId="49" fontId="21" fillId="9" borderId="7" applyAlignment="1" pivotButton="0" quotePrefix="0" xfId="3">
      <alignment horizontal="center" vertical="center" wrapText="1" shrinkToFit="1"/>
    </xf>
    <xf numFmtId="49" fontId="2" fillId="9" borderId="7" applyAlignment="1" pivotButton="0" quotePrefix="0" xfId="3">
      <alignment horizontal="center" vertical="center" wrapText="1" shrinkToFit="1"/>
    </xf>
    <xf numFmtId="49" fontId="2" fillId="9" borderId="8" applyAlignment="1" pivotButton="0" quotePrefix="0" xfId="3">
      <alignment horizontal="center" vertical="center" wrapText="1" shrinkToFit="1"/>
    </xf>
    <xf numFmtId="49" fontId="17" fillId="9" borderId="9" applyAlignment="1" pivotButton="0" quotePrefix="0" xfId="3">
      <alignment horizontal="center" vertical="center" wrapText="1" shrinkToFit="1"/>
    </xf>
    <xf numFmtId="49" fontId="21" fillId="9" borderId="9" applyAlignment="1" pivotButton="0" quotePrefix="0" xfId="3">
      <alignment horizontal="center" vertical="center" wrapText="1" shrinkToFit="1"/>
    </xf>
    <xf numFmtId="49" fontId="5" fillId="2" borderId="6" applyAlignment="1" pivotButton="0" quotePrefix="0" xfId="3">
      <alignment horizontal="center" vertical="center" wrapText="1" shrinkToFit="1"/>
    </xf>
    <xf numFmtId="49" fontId="5" fillId="2" borderId="5" applyAlignment="1" pivotButton="0" quotePrefix="0" xfId="3">
      <alignment horizontal="center" vertical="center" wrapText="1" shrinkToFit="1"/>
    </xf>
    <xf numFmtId="1" fontId="25" fillId="4" borderId="10" applyAlignment="1" pivotButton="0" quotePrefix="0" xfId="1">
      <alignment horizontal="center" vertical="center"/>
    </xf>
    <xf numFmtId="165" fontId="16" fillId="0" borderId="5" applyAlignment="1" pivotButton="0" quotePrefix="0" xfId="6">
      <alignment horizontal="center" vertical="center"/>
    </xf>
    <xf numFmtId="49" fontId="34" fillId="0" borderId="0" applyAlignment="1" pivotButton="0" quotePrefix="0" xfId="3">
      <alignment horizontal="left" vertical="center"/>
    </xf>
    <xf numFmtId="3" fontId="35" fillId="0" borderId="5" applyAlignment="1" pivotButton="0" quotePrefix="0" xfId="6">
      <alignment horizontal="center" vertical="center"/>
    </xf>
    <xf numFmtId="165" fontId="37" fillId="0" borderId="4" applyAlignment="1" pivotButton="0" quotePrefix="0" xfId="6">
      <alignment vertical="center"/>
    </xf>
    <xf numFmtId="165" fontId="17" fillId="2" borderId="7" applyAlignment="1" pivotButton="0" quotePrefix="0" xfId="5">
      <alignment horizontal="center" vertical="center" wrapText="1" shrinkToFit="1"/>
    </xf>
    <xf numFmtId="49" fontId="17" fillId="2" borderId="0" pivotButton="0" quotePrefix="0" xfId="3"/>
    <xf numFmtId="49" fontId="14" fillId="0" borderId="0" applyAlignment="1" pivotButton="0" quotePrefix="0" xfId="1">
      <alignment vertical="center"/>
    </xf>
    <xf numFmtId="49" fontId="36" fillId="2" borderId="0" applyAlignment="1" pivotButton="0" quotePrefix="0" xfId="3">
      <alignment vertical="center"/>
    </xf>
    <xf numFmtId="0" fontId="39" fillId="2" borderId="0" applyAlignment="1" pivotButton="0" quotePrefix="0" xfId="3">
      <alignment horizontal="center" vertical="center"/>
    </xf>
    <xf numFmtId="49" fontId="23" fillId="2" borderId="0" pivotButton="0" quotePrefix="0" xfId="3"/>
    <xf numFmtId="49" fontId="41" fillId="2" borderId="0" pivotButton="0" quotePrefix="0" xfId="3"/>
    <xf numFmtId="1" fontId="17" fillId="4" borderId="10" applyAlignment="1" pivotButton="0" quotePrefix="0" xfId="1">
      <alignment horizontal="center" vertical="center"/>
    </xf>
    <xf numFmtId="166" fontId="5" fillId="0" borderId="5" applyAlignment="1" pivotButton="0" quotePrefix="0" xfId="5">
      <alignment horizontal="center" vertical="center"/>
    </xf>
    <xf numFmtId="170" fontId="43" fillId="0" borderId="12" applyAlignment="1" pivotButton="0" quotePrefix="0" xfId="4">
      <alignment vertical="center"/>
    </xf>
    <xf numFmtId="171" fontId="43" fillId="8" borderId="5" pivotButton="0" quotePrefix="0" xfId="4"/>
    <xf numFmtId="49" fontId="17" fillId="0" borderId="5" applyAlignment="1" pivotButton="0" quotePrefix="0" xfId="3">
      <alignment horizontal="center" vertical="center" wrapText="1" shrinkToFit="1"/>
    </xf>
    <xf numFmtId="49" fontId="44" fillId="0" borderId="0" pivotButton="0" quotePrefix="0" xfId="3"/>
    <xf numFmtId="49" fontId="33" fillId="0" borderId="13" applyAlignment="1" pivotButton="0" quotePrefix="0" xfId="3">
      <alignment horizontal="left" vertical="center"/>
    </xf>
    <xf numFmtId="172" fontId="16" fillId="0" borderId="7" applyAlignment="1" pivotButton="0" quotePrefix="0" xfId="9">
      <alignment horizontal="center" vertical="center"/>
    </xf>
    <xf numFmtId="166" fontId="16" fillId="0" borderId="9" applyAlignment="1" pivotButton="0" quotePrefix="0" xfId="5">
      <alignment horizontal="center" vertical="center"/>
    </xf>
    <xf numFmtId="49" fontId="27" fillId="0" borderId="14" pivotButton="0" quotePrefix="0" xfId="3"/>
    <xf numFmtId="49" fontId="36" fillId="0" borderId="11" applyAlignment="1" pivotButton="0" quotePrefix="0" xfId="4">
      <alignment horizontal="right" vertical="center"/>
    </xf>
    <xf numFmtId="49" fontId="41" fillId="0" borderId="14" pivotButton="0" quotePrefix="0" xfId="3"/>
    <xf numFmtId="49" fontId="33" fillId="0" borderId="5" applyAlignment="1" pivotButton="0" quotePrefix="0" xfId="4">
      <alignment horizontal="right" vertical="center"/>
    </xf>
    <xf numFmtId="49" fontId="33" fillId="0" borderId="11" applyAlignment="1" pivotButton="0" quotePrefix="0" xfId="4">
      <alignment horizontal="right" vertical="center"/>
    </xf>
    <xf numFmtId="3" fontId="25" fillId="0" borderId="5" applyAlignment="1" pivotButton="0" quotePrefix="0" xfId="1">
      <alignment horizontal="center" vertical="center" wrapText="1"/>
    </xf>
    <xf numFmtId="3" fontId="35" fillId="0" borderId="12" applyAlignment="1" pivotButton="0" quotePrefix="0" xfId="6">
      <alignment horizontal="center" vertical="center"/>
    </xf>
    <xf numFmtId="1" fontId="35" fillId="0" borderId="12" applyAlignment="1" pivotButton="0" quotePrefix="0" xfId="3">
      <alignment horizontal="center" vertical="center"/>
    </xf>
    <xf numFmtId="3" fontId="25" fillId="0" borderId="15" applyAlignment="1" pivotButton="0" quotePrefix="0" xfId="1">
      <alignment horizontal="center" vertical="center" wrapText="1"/>
    </xf>
    <xf numFmtId="3" fontId="25" fillId="0" borderId="16" applyAlignment="1" pivotButton="0" quotePrefix="0" xfId="1">
      <alignment horizontal="center" vertical="center" wrapText="1"/>
    </xf>
    <xf numFmtId="49" fontId="22" fillId="10" borderId="17" applyAlignment="1" pivotButton="0" quotePrefix="0" xfId="3">
      <alignment horizontal="center" vertical="center" wrapText="1" shrinkToFit="1"/>
    </xf>
    <xf numFmtId="49" fontId="22" fillId="10" borderId="18" applyAlignment="1" pivotButton="0" quotePrefix="0" xfId="3">
      <alignment horizontal="center" vertical="center" wrapText="1" shrinkToFit="1"/>
    </xf>
    <xf numFmtId="49" fontId="2" fillId="0" borderId="9" applyAlignment="1" pivotButton="0" quotePrefix="0" xfId="3">
      <alignment horizontal="center" vertical="center" wrapText="1" shrinkToFit="1"/>
    </xf>
    <xf numFmtId="3" fontId="16" fillId="0" borderId="9" applyAlignment="1" pivotButton="0" quotePrefix="0" xfId="3">
      <alignment horizontal="center" vertical="center" wrapText="1" shrinkToFit="1"/>
    </xf>
    <xf numFmtId="3" fontId="16" fillId="0" borderId="5" applyAlignment="1" pivotButton="0" quotePrefix="0" xfId="3">
      <alignment horizontal="center" vertical="center" wrapText="1" shrinkToFit="1"/>
    </xf>
    <xf numFmtId="3" fontId="16" fillId="0" borderId="5" applyAlignment="1" pivotButton="0" quotePrefix="0" xfId="9">
      <alignment horizontal="center" vertical="center" wrapText="1"/>
    </xf>
    <xf numFmtId="49" fontId="44" fillId="0" borderId="0" applyAlignment="1" pivotButton="0" quotePrefix="0" xfId="3">
      <alignment horizontal="right" vertical="center"/>
    </xf>
    <xf numFmtId="49" fontId="44" fillId="0" borderId="0" applyAlignment="1" pivotButton="0" quotePrefix="0" xfId="3">
      <alignment vertical="center"/>
    </xf>
    <xf numFmtId="49" fontId="16" fillId="0" borderId="5" applyAlignment="1" pivotButton="0" quotePrefix="0" xfId="3">
      <alignment horizontal="center" vertical="center" wrapText="1" shrinkToFit="1"/>
    </xf>
    <xf numFmtId="49" fontId="16" fillId="0" borderId="5" applyAlignment="1" pivotButton="0" quotePrefix="0" xfId="3">
      <alignment vertical="center"/>
    </xf>
    <xf numFmtId="169" fontId="45" fillId="7" borderId="5" applyAlignment="1" pivotButton="0" quotePrefix="0" xfId="9">
      <alignment vertical="center"/>
    </xf>
    <xf numFmtId="49" fontId="21" fillId="9" borderId="19" applyAlignment="1" pivotButton="0" quotePrefix="0" xfId="3">
      <alignment horizontal="center" vertical="center" wrapText="1" shrinkToFit="1"/>
    </xf>
    <xf numFmtId="3" fontId="25" fillId="0" borderId="20" applyAlignment="1" pivotButton="0" quotePrefix="0" xfId="1">
      <alignment horizontal="center" vertical="center" wrapText="1"/>
    </xf>
    <xf numFmtId="1" fontId="25" fillId="4" borderId="21" applyAlignment="1" pivotButton="0" quotePrefix="0" xfId="1">
      <alignment horizontal="center" vertical="center"/>
    </xf>
    <xf numFmtId="0" fontId="4" fillId="0" borderId="0" applyAlignment="1" pivotButton="0" quotePrefix="0" xfId="2">
      <alignment horizontal="left" vertical="center"/>
    </xf>
    <xf numFmtId="49" fontId="14" fillId="0" borderId="2" applyAlignment="1" pivotButton="0" quotePrefix="0" xfId="1">
      <alignment horizontal="center" vertical="center"/>
    </xf>
    <xf numFmtId="49" fontId="14" fillId="0" borderId="3" applyAlignment="1" pivotButton="0" quotePrefix="0" xfId="1">
      <alignment horizontal="center" vertical="center"/>
    </xf>
    <xf numFmtId="49" fontId="14" fillId="0" borderId="4" applyAlignment="1" pivotButton="0" quotePrefix="0" xfId="1">
      <alignment horizontal="center" vertical="center"/>
    </xf>
    <xf numFmtId="49" fontId="23" fillId="0" borderId="0" pivotButton="0" quotePrefix="0" xfId="3"/>
    <xf numFmtId="49" fontId="12" fillId="0" borderId="0" pivotButton="0" quotePrefix="0" xfId="3"/>
    <xf numFmtId="169" fontId="30" fillId="7" borderId="0" applyAlignment="1" pivotButton="0" quotePrefix="0" xfId="9">
      <alignment vertical="center"/>
    </xf>
    <xf numFmtId="49" fontId="14" fillId="0" borderId="22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49" fontId="46" fillId="0" borderId="0" applyAlignment="1" pivotButton="0" quotePrefix="0" xfId="3">
      <alignment horizontal="left"/>
    </xf>
    <xf numFmtId="164" fontId="18" fillId="0" borderId="0" applyAlignment="1" pivotButton="0" quotePrefix="0" xfId="3">
      <alignment horizontal="left"/>
    </xf>
    <xf numFmtId="49" fontId="17" fillId="0" borderId="25" applyAlignment="1" pivotButton="0" quotePrefix="0" xfId="3">
      <alignment horizontal="center" vertical="center" wrapText="1" shrinkToFit="1"/>
    </xf>
    <xf numFmtId="49" fontId="5" fillId="2" borderId="26" applyAlignment="1" pivotButton="0" quotePrefix="0" xfId="3">
      <alignment horizontal="center" vertical="center" wrapText="1" shrinkToFit="1"/>
    </xf>
    <xf numFmtId="49" fontId="24" fillId="0" borderId="25" applyAlignment="1" pivotButton="0" quotePrefix="0" xfId="1">
      <alignment vertical="center" wrapText="1"/>
    </xf>
    <xf numFmtId="49" fontId="5" fillId="2" borderId="25" applyAlignment="1" pivotButton="0" quotePrefix="0" xfId="3">
      <alignment horizontal="center" vertical="center" wrapText="1" shrinkToFit="1"/>
    </xf>
    <xf numFmtId="49" fontId="24" fillId="0" borderId="25" applyAlignment="1" pivotButton="0" quotePrefix="0" xfId="1">
      <alignment horizontal="center" vertical="center" wrapText="1"/>
    </xf>
    <xf numFmtId="49" fontId="16" fillId="0" borderId="25" applyAlignment="1" pivotButton="0" quotePrefix="0" xfId="1">
      <alignment horizontal="center" vertical="center" wrapText="1"/>
    </xf>
    <xf numFmtId="0" fontId="16" fillId="2" borderId="25" applyAlignment="1" pivotButton="0" quotePrefix="0" xfId="3">
      <alignment horizontal="center" vertical="center" wrapText="1" shrinkToFit="1"/>
    </xf>
    <xf numFmtId="0" fontId="16" fillId="2" borderId="27" applyAlignment="1" pivotButton="0" quotePrefix="0" xfId="3">
      <alignment horizontal="center" vertical="center" wrapText="1" shrinkToFit="1"/>
    </xf>
    <xf numFmtId="3" fontId="25" fillId="0" borderId="28" applyAlignment="1" pivotButton="0" quotePrefix="0" xfId="1">
      <alignment horizontal="center" vertical="center" wrapText="1"/>
    </xf>
    <xf numFmtId="3" fontId="25" fillId="0" borderId="25" applyAlignment="1" pivotButton="0" quotePrefix="0" xfId="1">
      <alignment horizontal="center" vertical="center" wrapText="1"/>
    </xf>
    <xf numFmtId="1" fontId="17" fillId="4" borderId="29" applyAlignment="1" pivotButton="0" quotePrefix="0" xfId="1">
      <alignment horizontal="center" vertical="center"/>
    </xf>
    <xf numFmtId="165" fontId="17" fillId="2" borderId="30" applyAlignment="1" pivotButton="0" quotePrefix="0" xfId="5">
      <alignment horizontal="center" vertical="center" wrapText="1" shrinkToFit="1"/>
    </xf>
    <xf numFmtId="166" fontId="5" fillId="0" borderId="25" applyAlignment="1" pivotButton="0" quotePrefix="0" xfId="5">
      <alignment horizontal="center" vertical="center"/>
    </xf>
    <xf numFmtId="165" fontId="16" fillId="0" borderId="25" applyAlignment="1" pivotButton="0" quotePrefix="0" xfId="6">
      <alignment horizontal="center" vertical="center"/>
    </xf>
    <xf numFmtId="1" fontId="16" fillId="3" borderId="25" applyAlignment="1" pivotButton="0" quotePrefix="0" xfId="3">
      <alignment horizontal="center" vertical="center" wrapText="1" shrinkToFit="1"/>
    </xf>
    <xf numFmtId="1" fontId="16" fillId="5" borderId="25" applyAlignment="1" pivotButton="0" quotePrefix="0" xfId="3">
      <alignment horizontal="center" vertical="center"/>
    </xf>
    <xf numFmtId="167" fontId="16" fillId="6" borderId="25" applyAlignment="1" pivotButton="0" quotePrefix="0" xfId="6">
      <alignment vertical="center"/>
    </xf>
    <xf numFmtId="3" fontId="16" fillId="0" borderId="25" applyAlignment="1" pivotButton="0" quotePrefix="0" xfId="3">
      <alignment horizontal="center" vertical="center" wrapText="1" shrinkToFit="1"/>
    </xf>
    <xf numFmtId="1" fontId="16" fillId="0" borderId="25" applyAlignment="1" pivotButton="0" quotePrefix="0" xfId="6">
      <alignment horizontal="center" vertical="center"/>
    </xf>
    <xf numFmtId="167" fontId="25" fillId="0" borderId="25" applyAlignment="1" pivotButton="0" quotePrefix="0" xfId="6">
      <alignment horizontal="center" vertical="center"/>
    </xf>
    <xf numFmtId="49" fontId="16" fillId="0" borderId="25" applyAlignment="1" pivotButton="0" quotePrefix="0" xfId="3">
      <alignment horizontal="center" vertical="center" wrapText="1" shrinkToFit="1"/>
    </xf>
    <xf numFmtId="169" fontId="29" fillId="7" borderId="0" applyAlignment="1" pivotButton="0" quotePrefix="0" xfId="9">
      <alignment vertical="center"/>
    </xf>
    <xf numFmtId="169" fontId="30" fillId="7" borderId="0" applyAlignment="1" pivotButton="0" quotePrefix="0" xfId="9">
      <alignment vertical="center"/>
    </xf>
    <xf numFmtId="165" fontId="37" fillId="0" borderId="4" applyAlignment="1" pivotButton="0" quotePrefix="0" xfId="6">
      <alignment vertical="center"/>
    </xf>
    <xf numFmtId="170" fontId="43" fillId="0" borderId="12" applyAlignment="1" pivotButton="0" quotePrefix="0" xfId="4">
      <alignment vertical="center"/>
    </xf>
    <xf numFmtId="171" fontId="43" fillId="8" borderId="5" pivotButton="0" quotePrefix="0" xfId="4"/>
  </cellXfs>
  <cellStyles count="11">
    <cellStyle name="Normal" xfId="0" builtinId="0"/>
    <cellStyle name="Normal 7 2 2" xfId="1"/>
    <cellStyle name="常规 5 2" xfId="2"/>
    <cellStyle name="ปกติ_GetAttachment 5 2" xfId="3"/>
    <cellStyle name="Comma 4" xfId="4"/>
    <cellStyle name="Currency 3" xfId="5"/>
    <cellStyle name="Comma 3" xfId="6"/>
    <cellStyle name="ปกติ_GetAttachment 2" xfId="7"/>
    <cellStyle name="Normal 3" xfId="8"/>
    <cellStyle name="ปกติ 3" xfId="9"/>
    <cellStyle name="ปกติ_รูปแบบใบเสนอราคา 6" xfId="1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</colOff>
      <row>8</row>
      <rowOff>47625</rowOff>
    </from>
    <ext cx="1295400" cy="962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9</row>
      <rowOff>9525</rowOff>
    </from>
    <ext cx="1038225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10</row>
      <rowOff>9525</rowOff>
    </from>
    <ext cx="695325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11</row>
      <rowOff>9525</rowOff>
    </from>
    <ext cx="1038225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12</row>
      <rowOff>9525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14</row>
      <rowOff>9525</rowOff>
    </from>
    <ext cx="1000125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15</row>
      <rowOff>9525</rowOff>
    </from>
    <ext cx="11239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16</row>
      <rowOff>9525</rowOff>
    </from>
    <ext cx="695325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17</row>
      <rowOff>9525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18</row>
      <rowOff>9525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180975</colOff>
      <row>19</row>
      <rowOff>9525</rowOff>
    </from>
    <ext cx="942975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20</row>
      <rowOff>9525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21</row>
      <rowOff>9525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22</row>
      <rowOff>9525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23</row>
      <rowOff>9525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24</row>
      <rowOff>9525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25</row>
      <rowOff>9525</rowOff>
    </from>
    <ext cx="809625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26</row>
      <rowOff>9525</rowOff>
    </from>
    <ext cx="7810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27</row>
      <rowOff>9525</rowOff>
    </from>
    <ext cx="10477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142875</colOff>
      <row>28</row>
      <rowOff>9525</rowOff>
    </from>
    <ext cx="1019175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30</row>
      <rowOff>9525</rowOff>
    </from>
    <ext cx="1047750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31</row>
      <rowOff>9525</rowOff>
    </from>
    <ext cx="1038225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9525000" cy="7143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A35"/>
  <sheetViews>
    <sheetView workbookViewId="0">
      <selection activeCell="A1" sqref="A1"/>
    </sheetView>
  </sheetViews>
  <sheetFormatPr baseColWidth="8" defaultColWidth="13" defaultRowHeight="17.4"/>
  <cols>
    <col width="19.6640625" customWidth="1" style="139" min="1" max="2"/>
    <col width="19" customWidth="1" min="2" max="2"/>
    <col width="34.44140625" customWidth="1" style="74" min="3" max="3"/>
    <col width="17.5546875" customWidth="1" style="75" min="4" max="4"/>
    <col width="16" customWidth="1" style="139" min="5" max="5"/>
    <col width="14.6640625" customWidth="1" style="75" min="6" max="6"/>
    <col width="15" customWidth="1" style="139" min="7" max="7"/>
    <col width="14.44140625" customWidth="1" style="139" min="8" max="8"/>
    <col width="16.6640625" customWidth="1" style="76" min="9" max="10"/>
    <col width="14.6640625" customWidth="1" style="139" min="11" max="11"/>
    <col width="20.44140625" customWidth="1" style="76" min="12" max="12"/>
    <col width="14.5546875" customWidth="1" style="139" min="13" max="13"/>
    <col width="27.5546875" customWidth="1" style="77" min="14" max="14"/>
    <col width="14.33203125" customWidth="1" style="78" min="15" max="16"/>
    <col width="14.33203125" customWidth="1" style="79" min="17" max="17"/>
    <col width="14.33203125" customWidth="1" style="139" min="18" max="19"/>
    <col width="14.33203125" customWidth="1" style="71" min="20" max="21"/>
    <col width="14.33203125" customWidth="1" style="139" min="22" max="22"/>
    <col width="13" customWidth="1" style="139" min="23" max="23"/>
    <col width="13.6640625" bestFit="1" customWidth="1" style="139" min="24" max="24"/>
    <col width="13" customWidth="1" style="139" min="25" max="16384"/>
  </cols>
  <sheetData>
    <row r="1" ht="36" customFormat="1" customHeight="1" s="3">
      <c r="A1" s="1" t="n"/>
      <c r="B1" s="2" t="n"/>
      <c r="C1" s="135" t="inlineStr">
        <is>
          <t>GREENLIFE ENTERPRISES CO., LTD.</t>
        </is>
      </c>
      <c r="I1" s="4" t="n"/>
      <c r="J1" s="4" t="n"/>
      <c r="L1" s="4" t="n"/>
      <c r="O1" s="5" t="n"/>
      <c r="P1" s="5" t="n"/>
      <c r="Q1" s="6" t="n"/>
      <c r="T1" s="7" t="n"/>
      <c r="U1" s="7" t="n"/>
    </row>
    <row r="2" ht="24.75" customFormat="1" customHeight="1" s="3">
      <c r="A2" s="8" t="n"/>
      <c r="B2" s="9" t="n"/>
      <c r="C2" s="10" t="inlineStr">
        <is>
          <t>5 MOO4 THASAO, KRATHUMBAEN, SAMUTSAKHON, THAILAND 74110  TEL: +66 3447 4008</t>
        </is>
      </c>
      <c r="D2" s="10" t="n"/>
      <c r="E2" s="10" t="n"/>
      <c r="F2" s="10" t="n"/>
      <c r="I2" s="4" t="n"/>
      <c r="J2" s="4" t="n"/>
      <c r="L2" s="4" t="n"/>
      <c r="O2" s="5" t="n"/>
      <c r="P2" s="5" t="n"/>
      <c r="Q2" s="6" t="n"/>
      <c r="T2" s="7" t="n"/>
      <c r="U2" s="7" t="n"/>
    </row>
    <row r="3" ht="24" customFormat="1" customHeight="1" s="3">
      <c r="A3" s="11" t="n"/>
      <c r="B3" s="12" t="n"/>
      <c r="C3" s="10" t="n"/>
      <c r="D3" s="10" t="n"/>
      <c r="E3" s="10" t="n"/>
      <c r="F3" s="10" t="n"/>
      <c r="I3" s="4" t="n"/>
      <c r="J3" s="4" t="n"/>
      <c r="L3" s="4" t="n"/>
      <c r="O3" s="5" t="n"/>
      <c r="P3" s="5" t="n"/>
      <c r="Q3" s="6" t="n"/>
      <c r="T3" s="7" t="n"/>
      <c r="U3" s="7" t="n"/>
    </row>
    <row r="4" ht="18.75" customFormat="1" customHeight="1" s="3" thickBot="1">
      <c r="A4" s="13" t="n"/>
      <c r="B4" s="14" t="n"/>
      <c r="C4" s="15" t="n"/>
      <c r="D4" s="15" t="n"/>
      <c r="E4" s="15" t="n"/>
      <c r="F4" s="15" t="n"/>
      <c r="I4" s="4" t="n"/>
      <c r="J4" s="4" t="n"/>
      <c r="L4" s="4" t="n"/>
      <c r="O4" s="5" t="n"/>
      <c r="P4" s="5" t="n"/>
      <c r="Q4" s="6" t="n"/>
      <c r="T4" s="7" t="n"/>
      <c r="U4" s="7" t="n"/>
    </row>
    <row r="5" ht="44.25" customFormat="1" customHeight="1" s="3" thickBot="1">
      <c r="A5" s="142" t="inlineStr">
        <is>
          <t>ใบสั่งซื้อสินค้า / PURCHASING ORDER</t>
        </is>
      </c>
      <c r="B5" s="143" t="n"/>
      <c r="C5" s="143" t="n"/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4" t="n"/>
      <c r="O5" s="97" t="n"/>
      <c r="P5" s="97" t="n"/>
      <c r="Q5" s="97" t="n"/>
      <c r="R5" s="97" t="n"/>
      <c r="S5" s="97" t="n"/>
      <c r="T5" s="97" t="n"/>
      <c r="U5" s="16" t="n"/>
    </row>
    <row r="6" ht="41.25" customFormat="1" customHeight="1" s="24">
      <c r="A6" s="18" t="inlineStr">
        <is>
          <t>SUPPLIER</t>
        </is>
      </c>
      <c r="B6" s="23" t="inlineStr">
        <is>
          <t>YUYAO ZHEYU SANITARY WARE CO.,LTD</t>
        </is>
      </c>
      <c r="C6" s="17" t="n"/>
      <c r="D6" s="17" t="n"/>
      <c r="E6" s="17" t="n"/>
      <c r="F6" s="17" t="n"/>
      <c r="G6" s="20" t="inlineStr">
        <is>
          <t xml:space="preserve">VENDER :  </t>
        </is>
      </c>
      <c r="H6" s="145" t="inlineStr">
        <is>
          <t>A0010</t>
        </is>
      </c>
      <c r="I6" s="72" t="n"/>
      <c r="J6" s="72" t="n"/>
      <c r="M6" s="21" t="inlineStr">
        <is>
          <t>DATE</t>
        </is>
      </c>
      <c r="N6" s="146" t="n">
        <v>46030</v>
      </c>
      <c r="O6" s="96" t="n"/>
      <c r="P6" s="96" t="n"/>
      <c r="Q6" s="96" t="n"/>
      <c r="R6" s="96" t="n"/>
      <c r="S6" s="17" t="n"/>
      <c r="T6" s="23" t="n"/>
      <c r="U6" s="23" t="n"/>
    </row>
    <row r="7" ht="35.25" customFormat="1" customHeight="1" s="24" thickBot="1">
      <c r="A7" s="25" t="inlineStr">
        <is>
          <t>ADDRESS</t>
        </is>
      </c>
      <c r="B7" s="73" t="n"/>
      <c r="C7" s="26" t="n"/>
      <c r="D7" s="26" t="n"/>
      <c r="E7" s="26" t="n"/>
      <c r="F7" s="27" t="n"/>
      <c r="G7" s="26" t="n"/>
      <c r="H7" s="26" t="n"/>
      <c r="I7" s="19" t="n"/>
      <c r="J7" s="19" t="n"/>
      <c r="M7" s="21" t="inlineStr">
        <is>
          <t>PO NO:</t>
        </is>
      </c>
      <c r="N7" s="21" t="n"/>
      <c r="O7" s="26" t="n"/>
      <c r="P7" s="26" t="n"/>
      <c r="Q7" s="28" t="n"/>
      <c r="R7" s="26" t="n"/>
      <c r="S7" s="17" t="n"/>
      <c r="T7" s="23" t="n"/>
      <c r="U7" s="23" t="n"/>
    </row>
    <row r="8" ht="67.5" customFormat="1" customHeight="1" s="35">
      <c r="A8" s="80" t="inlineStr">
        <is>
          <t>BUYER ITEM NO.</t>
        </is>
      </c>
      <c r="B8" s="81" t="inlineStr">
        <is>
          <t>GOODS PICTURE</t>
        </is>
      </c>
      <c r="C8" s="81" t="inlineStr">
        <is>
          <t>GOODS DESCRIPTION</t>
        </is>
      </c>
      <c r="D8" s="82" t="inlineStr">
        <is>
          <t>BRAND</t>
        </is>
      </c>
      <c r="E8" s="82" t="inlineStr">
        <is>
          <t>MATERIAL</t>
        </is>
      </c>
      <c r="F8" s="83" t="inlineStr">
        <is>
          <t>Weight</t>
        </is>
      </c>
      <c r="G8" s="84" t="inlineStr">
        <is>
          <t>QTY PER CARTON</t>
        </is>
      </c>
      <c r="H8" s="85" t="inlineStr">
        <is>
          <t>CARTONS</t>
        </is>
      </c>
      <c r="I8" s="122" t="inlineStr">
        <is>
          <t>GREEN</t>
        </is>
      </c>
      <c r="J8" s="121" t="inlineStr">
        <is>
          <t>ASIA</t>
        </is>
      </c>
      <c r="K8" s="132" t="inlineStr">
        <is>
          <t>TOTAL QTY (ORDER)</t>
        </is>
      </c>
      <c r="L8" s="83" t="inlineStr">
        <is>
          <t>FOB PRICE (CNY)</t>
        </is>
      </c>
      <c r="M8" s="86" t="inlineStr">
        <is>
          <t>THB</t>
        </is>
      </c>
      <c r="N8" s="87" t="inlineStr">
        <is>
          <t>AMOUNT (CNY)</t>
        </is>
      </c>
      <c r="O8" s="29" t="inlineStr">
        <is>
          <t>USE MONTH</t>
        </is>
      </c>
      <c r="P8" s="30" t="inlineStr">
        <is>
          <t>MIN*4</t>
        </is>
      </c>
      <c r="Q8" s="31" t="inlineStr">
        <is>
          <t>MAX*7</t>
        </is>
      </c>
      <c r="R8" s="123" t="inlineStr">
        <is>
          <t>STOCK GREEN</t>
        </is>
      </c>
      <c r="S8" s="123" t="inlineStr">
        <is>
          <t>STOCK ASIA</t>
        </is>
      </c>
      <c r="T8" s="32" t="inlineStr">
        <is>
          <t>ON ORDER</t>
        </is>
      </c>
      <c r="U8" s="33" t="inlineStr">
        <is>
          <t>TOTAL QTY</t>
        </is>
      </c>
      <c r="V8" s="34" t="inlineStr">
        <is>
          <t>จน./USE MONTH</t>
        </is>
      </c>
      <c r="W8" s="34" t="inlineStr">
        <is>
          <t>คงเหลือ (จน./USE MONTH เดิม)</t>
        </is>
      </c>
      <c r="X8" s="139" t="n"/>
      <c r="Y8" s="36" t="n"/>
    </row>
    <row r="9" ht="84.59999999999999" customFormat="1" customHeight="1" s="35">
      <c r="A9" s="147" t="inlineStr">
        <is>
          <t>ATS-30</t>
        </is>
      </c>
      <c r="B9" s="148" t="n"/>
      <c r="C9" s="149" t="inlineStr">
        <is>
          <t>O RING</t>
        </is>
      </c>
      <c r="D9" s="150" t="n"/>
      <c r="E9" s="151" t="n"/>
      <c r="F9" s="152" t="n"/>
      <c r="G9" s="153" t="n"/>
      <c r="H9" s="154">
        <f>ROUND((Q9-U9)/G9,0)</f>
        <v/>
      </c>
      <c r="I9" s="155">
        <f>H9*G9</f>
        <v/>
      </c>
      <c r="J9" s="156" t="n">
        <v>0</v>
      </c>
      <c r="K9" s="157">
        <f>I9+J9</f>
        <v/>
      </c>
      <c r="L9" s="158" t="n">
        <v>0.0072</v>
      </c>
      <c r="M9" s="159" t="n">
        <v>0.0432</v>
      </c>
      <c r="N9" s="160">
        <f>L9*K9</f>
        <v/>
      </c>
      <c r="O9" s="161" t="n">
        <v>8403</v>
      </c>
      <c r="P9" s="162">
        <f>O9*4</f>
        <v/>
      </c>
      <c r="Q9" s="163">
        <f>O9*7</f>
        <v/>
      </c>
      <c r="R9" s="164" t="n">
        <v>10992</v>
      </c>
      <c r="S9" s="165" t="n">
        <v>0</v>
      </c>
      <c r="T9" s="166" t="n">
        <v>0</v>
      </c>
      <c r="U9" s="165">
        <f>R9+S9+T9</f>
        <v/>
      </c>
      <c r="V9" s="165">
        <f>ROUND((U9+K9)/O9,0)</f>
        <v/>
      </c>
      <c r="W9" s="167">
        <f>ROUND(U9/O9,0)</f>
        <v/>
      </c>
      <c r="X9" s="140" t="inlineStr">
        <is>
          <t>QTY PER CARTON is missing. Please update product catalog or supplier in EXPRESS</t>
        </is>
      </c>
    </row>
    <row r="10" ht="84.59999999999999" customFormat="1" customHeight="1" s="53">
      <c r="A10" s="147" t="inlineStr">
        <is>
          <t>BM-991M</t>
        </is>
      </c>
      <c r="B10" s="148" t="n"/>
      <c r="C10" s="149" t="inlineStr">
        <is>
          <t>HOLDER</t>
        </is>
      </c>
      <c r="D10" s="150" t="n"/>
      <c r="E10" s="151" t="n"/>
      <c r="F10" s="152" t="n"/>
      <c r="G10" s="153" t="n">
        <v>1000</v>
      </c>
      <c r="H10" s="154">
        <f>ROUND((Q10-U10)/G10,0)</f>
        <v/>
      </c>
      <c r="I10" s="155">
        <f>H10*G10</f>
        <v/>
      </c>
      <c r="J10" s="156" t="n">
        <v>0</v>
      </c>
      <c r="K10" s="157">
        <f>I10+J10</f>
        <v/>
      </c>
      <c r="L10" s="158" t="n">
        <v>2.02</v>
      </c>
      <c r="M10" s="159" t="n">
        <v>12.12</v>
      </c>
      <c r="N10" s="160">
        <f>L10*K10</f>
        <v/>
      </c>
      <c r="O10" s="161" t="n">
        <v>911</v>
      </c>
      <c r="P10" s="162">
        <f>O10*4</f>
        <v/>
      </c>
      <c r="Q10" s="163">
        <f>O10*7</f>
        <v/>
      </c>
      <c r="R10" s="164" t="n">
        <v>453</v>
      </c>
      <c r="S10" s="165" t="n">
        <v>0</v>
      </c>
      <c r="T10" s="166" t="n">
        <v>3000</v>
      </c>
      <c r="U10" s="165">
        <f>R10+S10+T10</f>
        <v/>
      </c>
      <c r="V10" s="165">
        <f>ROUND((U10+K10)/O10,0)</f>
        <v/>
      </c>
      <c r="W10" s="167">
        <f>ROUND(U10/O10,0)</f>
        <v/>
      </c>
      <c r="X10" s="140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</row>
    <row r="11" ht="84.59999999999999" customFormat="1" customHeight="1" s="35">
      <c r="A11" s="147" t="inlineStr">
        <is>
          <t>BM-992H</t>
        </is>
      </c>
      <c r="B11" s="148" t="n"/>
      <c r="C11" s="149" t="inlineStr">
        <is>
          <t>HAND SPRAY</t>
        </is>
      </c>
      <c r="D11" s="150" t="n"/>
      <c r="E11" s="151" t="n"/>
      <c r="F11" s="152" t="n"/>
      <c r="G11" s="153" t="n">
        <v>200</v>
      </c>
      <c r="H11" s="154">
        <f>ROUND((Q11-U11)/G11,0)</f>
        <v/>
      </c>
      <c r="I11" s="155">
        <f>H11*G11</f>
        <v/>
      </c>
      <c r="J11" s="156" t="n">
        <v>0</v>
      </c>
      <c r="K11" s="157">
        <f>I11+J11</f>
        <v/>
      </c>
      <c r="L11" s="158" t="n">
        <v>6.31</v>
      </c>
      <c r="M11" s="159" t="n">
        <v>37.86</v>
      </c>
      <c r="N11" s="160">
        <f>L11*K11</f>
        <v/>
      </c>
      <c r="O11" s="161" t="n">
        <v>782</v>
      </c>
      <c r="P11" s="162">
        <f>O11*4</f>
        <v/>
      </c>
      <c r="Q11" s="163">
        <f>O11*7</f>
        <v/>
      </c>
      <c r="R11" s="164" t="n">
        <v>79</v>
      </c>
      <c r="S11" s="165" t="n">
        <v>153</v>
      </c>
      <c r="T11" s="166" t="n">
        <v>2800</v>
      </c>
      <c r="U11" s="165">
        <f>R11+S11+T11</f>
        <v/>
      </c>
      <c r="V11" s="165">
        <f>ROUND((U11+K11)/O11,0)</f>
        <v/>
      </c>
      <c r="W11" s="167">
        <f>ROUND(U11/O11,0)</f>
        <v/>
      </c>
      <c r="X11" s="140" t="n"/>
    </row>
    <row r="12" ht="84.59999999999999" customFormat="1" customHeight="1" s="53">
      <c r="A12" s="147" t="inlineStr">
        <is>
          <t>CD-09M</t>
        </is>
      </c>
      <c r="B12" s="148" t="n"/>
      <c r="C12" s="149" t="inlineStr">
        <is>
          <t>HOLDER</t>
        </is>
      </c>
      <c r="D12" s="150" t="n"/>
      <c r="E12" s="151" t="n"/>
      <c r="F12" s="152" t="n"/>
      <c r="G12" s="153" t="n">
        <v>500</v>
      </c>
      <c r="H12" s="154">
        <f>ROUND((Q12-U12)/G12,0)</f>
        <v/>
      </c>
      <c r="I12" s="155">
        <f>H12*G12</f>
        <v/>
      </c>
      <c r="J12" s="156" t="n">
        <v>0</v>
      </c>
      <c r="K12" s="157">
        <f>I12+J12</f>
        <v/>
      </c>
      <c r="L12" s="158" t="n">
        <v>2.23</v>
      </c>
      <c r="M12" s="159" t="n">
        <v>13.38</v>
      </c>
      <c r="N12" s="160">
        <f>L12*K12</f>
        <v/>
      </c>
      <c r="O12" s="161" t="n">
        <v>106</v>
      </c>
      <c r="P12" s="162">
        <f>O12*4</f>
        <v/>
      </c>
      <c r="Q12" s="163">
        <f>O12*7</f>
        <v/>
      </c>
      <c r="R12" s="164" t="n">
        <v>208</v>
      </c>
      <c r="S12" s="165" t="n">
        <v>0</v>
      </c>
      <c r="T12" s="166" t="n">
        <v>0</v>
      </c>
      <c r="U12" s="165">
        <f>R12+S12+T12</f>
        <v/>
      </c>
      <c r="V12" s="165">
        <f>ROUND((U12+K12)/O12,0)</f>
        <v/>
      </c>
      <c r="W12" s="167">
        <f>ROUND(U12/O12,0)</f>
        <v/>
      </c>
      <c r="X12" s="140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</row>
    <row r="13" ht="84.59999999999999" customFormat="1" customHeight="1" s="168" thickBot="1">
      <c r="A13" s="147" t="inlineStr">
        <is>
          <t>DM-150M</t>
        </is>
      </c>
      <c r="B13" s="148" t="n"/>
      <c r="C13" s="149" t="inlineStr">
        <is>
          <t>HOSE</t>
        </is>
      </c>
      <c r="D13" s="150" t="n"/>
      <c r="E13" s="151" t="n"/>
      <c r="F13" s="152" t="n"/>
      <c r="G13" s="153" t="n">
        <v>100</v>
      </c>
      <c r="H13" s="154">
        <f>ROUND((Q13-U13)/G13,0)</f>
        <v/>
      </c>
      <c r="I13" s="155">
        <f>H13*G13</f>
        <v/>
      </c>
      <c r="J13" s="156" t="n">
        <v>0</v>
      </c>
      <c r="K13" s="157">
        <f>I13+J13</f>
        <v/>
      </c>
      <c r="L13" s="158" t="n">
        <v>8.130000000000001</v>
      </c>
      <c r="M13" s="159" t="n">
        <v>48.78</v>
      </c>
      <c r="N13" s="160">
        <f>L13*K13</f>
        <v/>
      </c>
      <c r="O13" s="161" t="n">
        <v>4359</v>
      </c>
      <c r="P13" s="162">
        <f>O13*4</f>
        <v/>
      </c>
      <c r="Q13" s="163">
        <f>O13*7</f>
        <v/>
      </c>
      <c r="R13" s="164" t="n">
        <v>1463</v>
      </c>
      <c r="S13" s="165" t="n">
        <v>248</v>
      </c>
      <c r="T13" s="166" t="n">
        <v>3000</v>
      </c>
      <c r="U13" s="165">
        <f>R13+S13+T13</f>
        <v/>
      </c>
      <c r="V13" s="165">
        <f>ROUND((U13+K13)/O13,0)</f>
        <v/>
      </c>
      <c r="W13" s="167">
        <f>ROUND(U13/O13,0)</f>
        <v/>
      </c>
      <c r="X13" s="169" t="n"/>
    </row>
    <row r="14" ht="84.59999999999999" customFormat="1" customHeight="1" s="53" thickBot="1">
      <c r="A14" s="147" t="inlineStr">
        <is>
          <t>DM-18</t>
        </is>
      </c>
      <c r="B14" s="148" t="n"/>
      <c r="C14" s="149" t="n"/>
      <c r="D14" s="150" t="inlineStr"/>
      <c r="E14" s="151" t="inlineStr"/>
      <c r="F14" s="152" t="inlineStr"/>
      <c r="G14" s="153" t="n"/>
      <c r="H14" s="154">
        <f>ROUND((Q14-U14)/G14,0)</f>
        <v/>
      </c>
      <c r="I14" s="155">
        <f>H14*G14</f>
        <v/>
      </c>
      <c r="J14" s="156" t="n">
        <v>0</v>
      </c>
      <c r="K14" s="157">
        <f>I14+J14</f>
        <v/>
      </c>
      <c r="L14" s="158" t="n"/>
      <c r="M14" s="159" t="n"/>
      <c r="N14" s="160">
        <f>L14*K14</f>
        <v/>
      </c>
      <c r="O14" s="161" t="n">
        <v>1068</v>
      </c>
      <c r="P14" s="162">
        <f>O14*4</f>
        <v/>
      </c>
      <c r="Q14" s="163">
        <f>O14*7</f>
        <v/>
      </c>
      <c r="R14" s="164" t="n">
        <v>0</v>
      </c>
      <c r="S14" s="165" t="n">
        <v>3350</v>
      </c>
      <c r="T14" s="166" t="n">
        <v>0</v>
      </c>
      <c r="U14" s="165">
        <f>R14+S14+T14</f>
        <v/>
      </c>
      <c r="V14" s="165">
        <f>ROUND((U14+K14)/O14,0)</f>
        <v/>
      </c>
      <c r="W14" s="167">
        <f>ROUND(U14/O14,0)</f>
        <v/>
      </c>
      <c r="X14" s="52" t="inlineStr">
        <is>
          <t>QTY PER CARTON is missing. Please update product catalog or supplier in EXPRESS</t>
        </is>
      </c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</row>
    <row r="15" ht="84.59999999999999" customFormat="1" customHeight="1" s="53">
      <c r="A15" s="147" t="inlineStr">
        <is>
          <t>DM-901H(W)</t>
        </is>
      </c>
      <c r="B15" s="148" t="n"/>
      <c r="C15" s="149" t="inlineStr">
        <is>
          <t>HAND SPRAY</t>
        </is>
      </c>
      <c r="D15" s="150" t="n"/>
      <c r="E15" s="151" t="n"/>
      <c r="F15" s="152" t="n"/>
      <c r="G15" s="153" t="n">
        <v>250</v>
      </c>
      <c r="H15" s="154">
        <f>ROUND((Q15-U15)/G15,0)</f>
        <v/>
      </c>
      <c r="I15" s="155">
        <f>H15*G15</f>
        <v/>
      </c>
      <c r="J15" s="156" t="n">
        <v>0</v>
      </c>
      <c r="K15" s="157">
        <f>I15+J15</f>
        <v/>
      </c>
      <c r="L15" s="158" t="n">
        <v>3.39</v>
      </c>
      <c r="M15" s="159" t="n">
        <v>20.34</v>
      </c>
      <c r="N15" s="160">
        <f>L15*K15</f>
        <v/>
      </c>
      <c r="O15" s="161" t="n">
        <v>2187</v>
      </c>
      <c r="P15" s="162">
        <f>O15*4</f>
        <v/>
      </c>
      <c r="Q15" s="163">
        <f>O15*7</f>
        <v/>
      </c>
      <c r="R15" s="164" t="n">
        <v>3095</v>
      </c>
      <c r="S15" s="165" t="n">
        <v>0</v>
      </c>
      <c r="T15" s="166" t="n">
        <v>2500</v>
      </c>
      <c r="U15" s="165">
        <f>R15+S15+T15</f>
        <v/>
      </c>
      <c r="V15" s="165">
        <f>ROUND((U15+K15)/O15,0)</f>
        <v/>
      </c>
      <c r="W15" s="167">
        <f>ROUND(U15/O15,0)</f>
        <v/>
      </c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</row>
    <row r="16" ht="84.59999999999999" customHeight="1">
      <c r="A16" s="147" t="inlineStr">
        <is>
          <t>DM-918H</t>
        </is>
      </c>
      <c r="B16" s="148" t="n"/>
      <c r="C16" s="149" t="inlineStr">
        <is>
          <t>HAND SPRAY</t>
        </is>
      </c>
      <c r="D16" s="150" t="n"/>
      <c r="E16" s="151" t="n"/>
      <c r="F16" s="152" t="n"/>
      <c r="G16" s="153" t="n">
        <v>250</v>
      </c>
      <c r="H16" s="154">
        <f>ROUND((Q16-U16)/G16,0)</f>
        <v/>
      </c>
      <c r="I16" s="155">
        <f>H16*G16</f>
        <v/>
      </c>
      <c r="J16" s="156" t="n">
        <v>0</v>
      </c>
      <c r="K16" s="157">
        <f>I16+J16</f>
        <v/>
      </c>
      <c r="L16" s="158" t="n">
        <v>4.43</v>
      </c>
      <c r="M16" s="159" t="n">
        <v>26.58</v>
      </c>
      <c r="N16" s="160">
        <f>L16*K16</f>
        <v/>
      </c>
      <c r="O16" s="161" t="n">
        <v>863</v>
      </c>
      <c r="P16" s="162">
        <f>O16*4</f>
        <v/>
      </c>
      <c r="Q16" s="163">
        <f>O16*7</f>
        <v/>
      </c>
      <c r="R16" s="164" t="n">
        <v>21</v>
      </c>
      <c r="S16" s="165" t="n">
        <v>0</v>
      </c>
      <c r="T16" s="166" t="n">
        <v>2500</v>
      </c>
      <c r="U16" s="165">
        <f>R16+S16+T16</f>
        <v/>
      </c>
      <c r="V16" s="165">
        <f>ROUND((U16+K16)/O16,0)</f>
        <v/>
      </c>
      <c r="W16" s="167">
        <f>ROUND(U16/O16,0)</f>
        <v/>
      </c>
    </row>
    <row r="17" ht="84.59999999999999" customHeight="1">
      <c r="A17" s="147" t="inlineStr">
        <is>
          <t>DM-982H</t>
        </is>
      </c>
      <c r="B17" s="148" t="n"/>
      <c r="C17" s="149" t="inlineStr">
        <is>
          <t>HAND SPRAY</t>
        </is>
      </c>
      <c r="D17" s="150" t="n"/>
      <c r="E17" s="151" t="n"/>
      <c r="F17" s="152" t="n"/>
      <c r="G17" s="153" t="n">
        <v>200</v>
      </c>
      <c r="H17" s="154">
        <f>ROUND((Q17-U17)/G17,0)</f>
        <v/>
      </c>
      <c r="I17" s="155">
        <f>H17*G17</f>
        <v/>
      </c>
      <c r="J17" s="156" t="n">
        <v>0</v>
      </c>
      <c r="K17" s="157">
        <f>I17+J17</f>
        <v/>
      </c>
      <c r="L17" s="158" t="n">
        <v>8.050000000000001</v>
      </c>
      <c r="M17" s="159" t="n">
        <v>48.3</v>
      </c>
      <c r="N17" s="160">
        <f>L17*K17</f>
        <v/>
      </c>
      <c r="O17" s="161" t="n">
        <v>1369</v>
      </c>
      <c r="P17" s="162">
        <f>O17*4</f>
        <v/>
      </c>
      <c r="Q17" s="163">
        <f>O17*7</f>
        <v/>
      </c>
      <c r="R17" s="164" t="n">
        <v>4</v>
      </c>
      <c r="S17" s="165" t="n">
        <v>1</v>
      </c>
      <c r="T17" s="166" t="n">
        <v>3000</v>
      </c>
      <c r="U17" s="165">
        <f>R17+S17+T17</f>
        <v/>
      </c>
      <c r="V17" s="165">
        <f>ROUND((U17+K17)/O17,0)</f>
        <v/>
      </c>
      <c r="W17" s="167">
        <f>ROUND(U17/O17,0)</f>
        <v/>
      </c>
    </row>
    <row r="18" ht="84.59999999999999" customHeight="1">
      <c r="A18" s="147" t="inlineStr">
        <is>
          <t>DM-984H</t>
        </is>
      </c>
      <c r="B18" s="148" t="n"/>
      <c r="C18" s="149" t="inlineStr">
        <is>
          <t>HAND SPRAY</t>
        </is>
      </c>
      <c r="D18" s="150" t="n"/>
      <c r="E18" s="151" t="n"/>
      <c r="F18" s="152" t="n"/>
      <c r="G18" s="153" t="n">
        <v>250</v>
      </c>
      <c r="H18" s="154">
        <f>ROUND((Q18-U18)/G18,0)</f>
        <v/>
      </c>
      <c r="I18" s="155">
        <f>H18*G18</f>
        <v/>
      </c>
      <c r="J18" s="156" t="n">
        <v>0</v>
      </c>
      <c r="K18" s="157">
        <f>I18+J18</f>
        <v/>
      </c>
      <c r="L18" s="158" t="n">
        <v>4.27</v>
      </c>
      <c r="M18" s="159" t="n">
        <v>25.62</v>
      </c>
      <c r="N18" s="160">
        <f>L18*K18</f>
        <v/>
      </c>
      <c r="O18" s="161" t="n">
        <v>853</v>
      </c>
      <c r="P18" s="162">
        <f>O18*4</f>
        <v/>
      </c>
      <c r="Q18" s="163">
        <f>O18*7</f>
        <v/>
      </c>
      <c r="R18" s="164" t="n">
        <v>1</v>
      </c>
      <c r="S18" s="165" t="n">
        <v>0</v>
      </c>
      <c r="T18" s="166" t="n">
        <v>3000</v>
      </c>
      <c r="U18" s="165">
        <f>R18+S18+T18</f>
        <v/>
      </c>
      <c r="V18" s="165">
        <f>ROUND((U18+K18)/O18,0)</f>
        <v/>
      </c>
      <c r="W18" s="167">
        <f>ROUND(U18/O18,0)</f>
        <v/>
      </c>
    </row>
    <row r="19" ht="84.59999999999999" customFormat="1" customHeight="1" s="107">
      <c r="A19" s="147" t="inlineStr">
        <is>
          <t>DM-986H</t>
        </is>
      </c>
      <c r="B19" s="148" t="n"/>
      <c r="C19" s="149" t="inlineStr">
        <is>
          <t>HAND SPRAY</t>
        </is>
      </c>
      <c r="D19" s="150" t="n"/>
      <c r="E19" s="151" t="n"/>
      <c r="F19" s="152" t="n"/>
      <c r="G19" s="153" t="n">
        <v>250</v>
      </c>
      <c r="H19" s="154">
        <f>ROUND((Q19-U19)/G19,0)</f>
        <v/>
      </c>
      <c r="I19" s="155">
        <f>H19*G19</f>
        <v/>
      </c>
      <c r="J19" s="156" t="n">
        <v>0</v>
      </c>
      <c r="K19" s="157">
        <f>I19+J19</f>
        <v/>
      </c>
      <c r="L19" s="158" t="n">
        <v>3.69</v>
      </c>
      <c r="M19" s="159" t="n">
        <v>22.14</v>
      </c>
      <c r="N19" s="160">
        <f>L19*K19</f>
        <v/>
      </c>
      <c r="O19" s="161" t="n">
        <v>735</v>
      </c>
      <c r="P19" s="162">
        <f>O19*4</f>
        <v/>
      </c>
      <c r="Q19" s="163">
        <f>O19*7</f>
        <v/>
      </c>
      <c r="R19" s="164" t="n">
        <v>372</v>
      </c>
      <c r="S19" s="165" t="n">
        <v>0</v>
      </c>
      <c r="T19" s="166" t="n">
        <v>0</v>
      </c>
      <c r="U19" s="165">
        <f>R19+S19+T19</f>
        <v/>
      </c>
      <c r="V19" s="165">
        <f>ROUND((U19+K19)/O19,0)</f>
        <v/>
      </c>
      <c r="W19" s="167">
        <f>ROUND(U19/O19,0)</f>
        <v/>
      </c>
    </row>
    <row r="20" ht="84.59999999999999" customFormat="1" customHeight="1" s="107">
      <c r="A20" s="147" t="inlineStr">
        <is>
          <t>DM-P200(BK)</t>
        </is>
      </c>
      <c r="B20" s="148" t="n"/>
      <c r="C20" s="149" t="inlineStr">
        <is>
          <t>HOSE</t>
        </is>
      </c>
      <c r="D20" s="150" t="n"/>
      <c r="E20" s="151" t="n"/>
      <c r="F20" s="152" t="n"/>
      <c r="G20" s="153" t="n">
        <v>100</v>
      </c>
      <c r="H20" s="154">
        <f>ROUND((Q20-U20)/G20,0)</f>
        <v/>
      </c>
      <c r="I20" s="155">
        <f>H20*G20</f>
        <v/>
      </c>
      <c r="J20" s="156" t="n">
        <v>0</v>
      </c>
      <c r="K20" s="157">
        <f>I20+J20</f>
        <v/>
      </c>
      <c r="L20" s="158" t="n">
        <v>5.4</v>
      </c>
      <c r="M20" s="159" t="n">
        <v>32.40000000000001</v>
      </c>
      <c r="N20" s="160">
        <f>L20*K20</f>
        <v/>
      </c>
      <c r="O20" s="161" t="n">
        <v>236</v>
      </c>
      <c r="P20" s="162">
        <f>O20*4</f>
        <v/>
      </c>
      <c r="Q20" s="163">
        <f>O20*7</f>
        <v/>
      </c>
      <c r="R20" s="164" t="n">
        <v>506</v>
      </c>
      <c r="S20" s="165" t="n">
        <v>0</v>
      </c>
      <c r="T20" s="166" t="n">
        <v>0</v>
      </c>
      <c r="U20" s="165">
        <f>R20+S20+T20</f>
        <v/>
      </c>
      <c r="V20" s="165">
        <f>ROUND((U20+K20)/O20,0)</f>
        <v/>
      </c>
      <c r="W20" s="167">
        <f>ROUND(U20/O20,0)</f>
        <v/>
      </c>
    </row>
    <row r="21" ht="84.59999999999999" customHeight="1">
      <c r="A21" s="147" t="inlineStr">
        <is>
          <t>DMC-100</t>
        </is>
      </c>
      <c r="B21" s="148" t="n"/>
      <c r="C21" s="149" t="inlineStr">
        <is>
          <t>HOSE</t>
        </is>
      </c>
      <c r="D21" s="150" t="n"/>
      <c r="E21" s="151" t="n"/>
      <c r="F21" s="152" t="n"/>
      <c r="G21" s="153" t="n">
        <v>80</v>
      </c>
      <c r="H21" s="154">
        <f>ROUND((Q21-U21)/G21,0)</f>
        <v/>
      </c>
      <c r="I21" s="155">
        <f>H21*G21</f>
        <v/>
      </c>
      <c r="J21" s="156" t="n">
        <v>0</v>
      </c>
      <c r="K21" s="157">
        <f>I21+J21</f>
        <v/>
      </c>
      <c r="L21" s="158" t="n">
        <v>4.6</v>
      </c>
      <c r="M21" s="159" t="n">
        <v>27.6</v>
      </c>
      <c r="N21" s="160">
        <f>L21*K21</f>
        <v/>
      </c>
      <c r="O21" s="161" t="n">
        <v>504</v>
      </c>
      <c r="P21" s="162">
        <f>O21*4</f>
        <v/>
      </c>
      <c r="Q21" s="163">
        <f>O21*7</f>
        <v/>
      </c>
      <c r="R21" s="164" t="n">
        <v>73</v>
      </c>
      <c r="S21" s="165" t="n">
        <v>272</v>
      </c>
      <c r="T21" s="166" t="n">
        <v>1600</v>
      </c>
      <c r="U21" s="165">
        <f>R21+S21+T21</f>
        <v/>
      </c>
      <c r="V21" s="165">
        <f>ROUND((U21+K21)/O21,0)</f>
        <v/>
      </c>
      <c r="W21" s="167">
        <f>ROUND(U21/O21,0)</f>
        <v/>
      </c>
    </row>
    <row r="22" ht="84.59999999999999" customHeight="1">
      <c r="A22" s="147" t="inlineStr">
        <is>
          <t>DMC-120</t>
        </is>
      </c>
      <c r="B22" s="148" t="n"/>
      <c r="C22" s="149" t="inlineStr">
        <is>
          <t>HOSE</t>
        </is>
      </c>
      <c r="D22" s="150" t="n"/>
      <c r="E22" s="151" t="n"/>
      <c r="F22" s="152" t="n"/>
      <c r="G22" s="153" t="n">
        <v>50</v>
      </c>
      <c r="H22" s="154">
        <f>ROUND((Q22-U22)/G22,0)</f>
        <v/>
      </c>
      <c r="I22" s="155">
        <f>H22*G22</f>
        <v/>
      </c>
      <c r="J22" s="156" t="n">
        <v>0</v>
      </c>
      <c r="K22" s="157">
        <f>I22+J22</f>
        <v/>
      </c>
      <c r="L22" s="158" t="n">
        <v>4.86</v>
      </c>
      <c r="M22" s="159" t="n">
        <v>29.16</v>
      </c>
      <c r="N22" s="160">
        <f>L22*K22</f>
        <v/>
      </c>
      <c r="O22" s="161" t="n">
        <v>231</v>
      </c>
      <c r="P22" s="162">
        <f>O22*4</f>
        <v/>
      </c>
      <c r="Q22" s="163">
        <f>O22*7</f>
        <v/>
      </c>
      <c r="R22" s="164" t="n">
        <v>11</v>
      </c>
      <c r="S22" s="165" t="n">
        <v>500</v>
      </c>
      <c r="T22" s="166" t="n">
        <v>0</v>
      </c>
      <c r="U22" s="165">
        <f>R22+S22+T22</f>
        <v/>
      </c>
      <c r="V22" s="165">
        <f>ROUND((U22+K22)/O22,0)</f>
        <v/>
      </c>
      <c r="W22" s="167">
        <f>ROUND(U22/O22,0)</f>
        <v/>
      </c>
    </row>
    <row r="23" ht="84.59999999999999" customHeight="1">
      <c r="A23" s="147" t="inlineStr">
        <is>
          <t>DMC-18</t>
        </is>
      </c>
      <c r="B23" s="148" t="n"/>
      <c r="C23" s="149" t="inlineStr">
        <is>
          <t>HOSE</t>
        </is>
      </c>
      <c r="D23" s="150" t="n"/>
      <c r="E23" s="151" t="n"/>
      <c r="F23" s="152" t="n"/>
      <c r="G23" s="153" t="n">
        <v>200</v>
      </c>
      <c r="H23" s="154">
        <f>ROUND((Q23-U23)/G23,0)</f>
        <v/>
      </c>
      <c r="I23" s="155">
        <f>H23*G23</f>
        <v/>
      </c>
      <c r="J23" s="156" t="n">
        <v>0</v>
      </c>
      <c r="K23" s="157">
        <f>I23+J23</f>
        <v/>
      </c>
      <c r="L23" s="158" t="n">
        <v>2.96</v>
      </c>
      <c r="M23" s="159" t="n">
        <v>17.76</v>
      </c>
      <c r="N23" s="160">
        <f>L23*K23</f>
        <v/>
      </c>
      <c r="O23" s="161" t="n">
        <v>2129</v>
      </c>
      <c r="P23" s="162">
        <f>O23*4</f>
        <v/>
      </c>
      <c r="Q23" s="163">
        <f>O23*7</f>
        <v/>
      </c>
      <c r="R23" s="164" t="n">
        <v>395</v>
      </c>
      <c r="S23" s="165" t="n">
        <v>1910</v>
      </c>
      <c r="T23" s="166" t="n">
        <v>6000</v>
      </c>
      <c r="U23" s="165">
        <f>R23+S23+T23</f>
        <v/>
      </c>
      <c r="V23" s="165">
        <f>ROUND((U23+K23)/O23,0)</f>
        <v/>
      </c>
      <c r="W23" s="167">
        <f>ROUND(U23/O23,0)</f>
        <v/>
      </c>
    </row>
    <row r="24" ht="84.59999999999999" customHeight="1">
      <c r="A24" s="147" t="inlineStr">
        <is>
          <t>DMC-20</t>
        </is>
      </c>
      <c r="B24" s="148" t="n"/>
      <c r="C24" s="149" t="inlineStr">
        <is>
          <t>HOSE</t>
        </is>
      </c>
      <c r="D24" s="150" t="n"/>
      <c r="E24" s="151" t="n"/>
      <c r="F24" s="152" t="n"/>
      <c r="G24" s="153" t="n">
        <v>150</v>
      </c>
      <c r="H24" s="154">
        <f>ROUND((Q24-U24)/G24,0)</f>
        <v/>
      </c>
      <c r="I24" s="155">
        <f>H24*G24</f>
        <v/>
      </c>
      <c r="J24" s="156" t="n">
        <v>0</v>
      </c>
      <c r="K24" s="157">
        <f>I24+J24</f>
        <v/>
      </c>
      <c r="L24" s="158" t="n">
        <v>3.18</v>
      </c>
      <c r="M24" s="159" t="n">
        <v>19.08</v>
      </c>
      <c r="N24" s="160">
        <f>L24*K24</f>
        <v/>
      </c>
      <c r="O24" s="161" t="n">
        <v>817</v>
      </c>
      <c r="P24" s="162">
        <f>O24*4</f>
        <v/>
      </c>
      <c r="Q24" s="163">
        <f>O24*7</f>
        <v/>
      </c>
      <c r="R24" s="164" t="n">
        <v>903</v>
      </c>
      <c r="S24" s="165" t="n">
        <v>0</v>
      </c>
      <c r="T24" s="166" t="n">
        <v>1500</v>
      </c>
      <c r="U24" s="165">
        <f>R24+S24+T24</f>
        <v/>
      </c>
      <c r="V24" s="165">
        <f>ROUND((U24+K24)/O24,0)</f>
        <v/>
      </c>
      <c r="W24" s="167">
        <f>ROUND(U24/O24,0)</f>
        <v/>
      </c>
    </row>
    <row r="25" ht="84.59999999999999" customHeight="1">
      <c r="A25" s="147" t="inlineStr">
        <is>
          <t>DMC-22</t>
        </is>
      </c>
      <c r="B25" s="148" t="n"/>
      <c r="C25" s="149" t="inlineStr">
        <is>
          <t>HOSE</t>
        </is>
      </c>
      <c r="D25" s="150" t="n"/>
      <c r="E25" s="151" t="n"/>
      <c r="F25" s="152" t="n"/>
      <c r="G25" s="153" t="n">
        <v>150</v>
      </c>
      <c r="H25" s="154">
        <f>ROUND((Q25-U25)/G25,0)</f>
        <v/>
      </c>
      <c r="I25" s="155">
        <f>H25*G25</f>
        <v/>
      </c>
      <c r="J25" s="156" t="n">
        <v>0</v>
      </c>
      <c r="K25" s="157">
        <f>I25+J25</f>
        <v/>
      </c>
      <c r="L25" s="158" t="n">
        <v>3.33</v>
      </c>
      <c r="M25" s="159" t="n">
        <v>19.98</v>
      </c>
      <c r="N25" s="160">
        <f>L25*K25</f>
        <v/>
      </c>
      <c r="O25" s="161" t="n">
        <v>1778</v>
      </c>
      <c r="P25" s="162">
        <f>O25*4</f>
        <v/>
      </c>
      <c r="Q25" s="163">
        <f>O25*7</f>
        <v/>
      </c>
      <c r="R25" s="164" t="n">
        <v>418</v>
      </c>
      <c r="S25" s="165" t="n">
        <v>0</v>
      </c>
      <c r="T25" s="166" t="n">
        <v>6000</v>
      </c>
      <c r="U25" s="165">
        <f>R25+S25+T25</f>
        <v/>
      </c>
      <c r="V25" s="165">
        <f>ROUND((U25+K25)/O25,0)</f>
        <v/>
      </c>
      <c r="W25" s="167">
        <f>ROUND(U25/O25,0)</f>
        <v/>
      </c>
    </row>
    <row r="26" ht="84.59999999999999" customHeight="1">
      <c r="A26" s="147" t="inlineStr">
        <is>
          <t>FN-956H</t>
        </is>
      </c>
      <c r="B26" s="148" t="n"/>
      <c r="C26" s="149" t="inlineStr">
        <is>
          <t>HAND SPRAY</t>
        </is>
      </c>
      <c r="D26" s="150" t="n"/>
      <c r="E26" s="151" t="n"/>
      <c r="F26" s="152" t="n"/>
      <c r="G26" s="153" t="n">
        <v>250</v>
      </c>
      <c r="H26" s="154">
        <f>ROUND((Q26-U26)/G26,0)</f>
        <v/>
      </c>
      <c r="I26" s="155">
        <f>H26*G26</f>
        <v/>
      </c>
      <c r="J26" s="156" t="n">
        <v>0</v>
      </c>
      <c r="K26" s="157">
        <f>I26+J26</f>
        <v/>
      </c>
      <c r="L26" s="158" t="n">
        <v>3.43</v>
      </c>
      <c r="M26" s="159" t="n">
        <v>20.58</v>
      </c>
      <c r="N26" s="160">
        <f>L26*K26</f>
        <v/>
      </c>
      <c r="O26" s="161" t="n">
        <v>303</v>
      </c>
      <c r="P26" s="162">
        <f>O26*4</f>
        <v/>
      </c>
      <c r="Q26" s="163">
        <f>O26*7</f>
        <v/>
      </c>
      <c r="R26" s="164" t="n">
        <v>1035</v>
      </c>
      <c r="S26" s="165" t="n">
        <v>0</v>
      </c>
      <c r="T26" s="166" t="n">
        <v>0</v>
      </c>
      <c r="U26" s="165">
        <f>R26+S26+T26</f>
        <v/>
      </c>
      <c r="V26" s="165">
        <f>ROUND((U26+K26)/O26,0)</f>
        <v/>
      </c>
      <c r="W26" s="167">
        <f>ROUND(U26/O26,0)</f>
        <v/>
      </c>
    </row>
    <row r="27" ht="84.59999999999999" customHeight="1">
      <c r="A27" s="147" t="inlineStr">
        <is>
          <t>GS-820 (H)</t>
        </is>
      </c>
      <c r="B27" s="148" t="n"/>
      <c r="C27" s="149" t="inlineStr">
        <is>
          <t>HAND SPRAY</t>
        </is>
      </c>
      <c r="D27" s="150" t="n"/>
      <c r="E27" s="151" t="n"/>
      <c r="F27" s="152" t="n"/>
      <c r="G27" s="153" t="n">
        <v>200</v>
      </c>
      <c r="H27" s="154">
        <f>ROUND((Q27-U27)/G27,0)</f>
        <v/>
      </c>
      <c r="I27" s="155">
        <f>H27*G27</f>
        <v/>
      </c>
      <c r="J27" s="156" t="n">
        <v>0</v>
      </c>
      <c r="K27" s="157">
        <f>I27+J27</f>
        <v/>
      </c>
      <c r="L27" s="158" t="n">
        <v>24.55</v>
      </c>
      <c r="M27" s="159" t="n">
        <v>147.3</v>
      </c>
      <c r="N27" s="160">
        <f>L27*K27</f>
        <v/>
      </c>
      <c r="O27" s="161" t="n">
        <v>85</v>
      </c>
      <c r="P27" s="162">
        <f>O27*4</f>
        <v/>
      </c>
      <c r="Q27" s="163">
        <f>O27*7</f>
        <v/>
      </c>
      <c r="R27" s="164" t="n">
        <v>205</v>
      </c>
      <c r="S27" s="165" t="n">
        <v>0</v>
      </c>
      <c r="T27" s="166" t="n">
        <v>0</v>
      </c>
      <c r="U27" s="165">
        <f>R27+S27+T27</f>
        <v/>
      </c>
      <c r="V27" s="165">
        <f>ROUND((U27+K27)/O27,0)</f>
        <v/>
      </c>
      <c r="W27" s="167">
        <f>ROUND(U27/O27,0)</f>
        <v/>
      </c>
    </row>
    <row r="28" ht="84.59999999999999" customHeight="1">
      <c r="A28" s="147" t="inlineStr">
        <is>
          <t>MG-987H</t>
        </is>
      </c>
      <c r="B28" s="148" t="n"/>
      <c r="C28" s="149" t="inlineStr">
        <is>
          <t>HAND SPRAY</t>
        </is>
      </c>
      <c r="D28" s="150" t="n"/>
      <c r="E28" s="151" t="n"/>
      <c r="F28" s="152" t="n"/>
      <c r="G28" s="153" t="n">
        <v>200</v>
      </c>
      <c r="H28" s="154">
        <f>ROUND((Q28-U28)/G28,0)</f>
        <v/>
      </c>
      <c r="I28" s="155">
        <f>H28*G28</f>
        <v/>
      </c>
      <c r="J28" s="156" t="n">
        <v>0</v>
      </c>
      <c r="K28" s="157">
        <f>I28+J28</f>
        <v/>
      </c>
      <c r="L28" s="158" t="n"/>
      <c r="M28" s="159" t="n"/>
      <c r="N28" s="160">
        <f>L28*K28</f>
        <v/>
      </c>
      <c r="O28" s="161" t="n">
        <v>104</v>
      </c>
      <c r="P28" s="162">
        <f>O28*4</f>
        <v/>
      </c>
      <c r="Q28" s="163">
        <f>O28*7</f>
        <v/>
      </c>
      <c r="R28" s="164" t="n">
        <v>324</v>
      </c>
      <c r="S28" s="165" t="n">
        <v>0</v>
      </c>
      <c r="T28" s="166" t="n">
        <v>0</v>
      </c>
      <c r="U28" s="165">
        <f>R28+S28+T28</f>
        <v/>
      </c>
      <c r="V28" s="165">
        <f>ROUND((U28+K28)/O28,0)</f>
        <v/>
      </c>
      <c r="W28" s="167">
        <f>ROUND(U28/O28,0)</f>
        <v/>
      </c>
    </row>
    <row r="29" ht="84.59999999999999" customHeight="1">
      <c r="A29" s="147" t="inlineStr">
        <is>
          <t>MG-993M</t>
        </is>
      </c>
      <c r="B29" s="148" t="n"/>
      <c r="C29" s="149" t="inlineStr">
        <is>
          <t>HOLDER</t>
        </is>
      </c>
      <c r="D29" s="150" t="n"/>
      <c r="E29" s="151" t="n"/>
      <c r="F29" s="152" t="n"/>
      <c r="G29" s="153" t="n">
        <v>1000</v>
      </c>
      <c r="H29" s="154">
        <f>ROUND((Q29-U29)/G29,0)</f>
        <v/>
      </c>
      <c r="I29" s="155">
        <f>H29*G29</f>
        <v/>
      </c>
      <c r="J29" s="156" t="n">
        <v>0</v>
      </c>
      <c r="K29" s="157">
        <f>I29+J29</f>
        <v/>
      </c>
      <c r="L29" s="158" t="n">
        <v>3.19</v>
      </c>
      <c r="M29" s="159" t="n">
        <v>19.14</v>
      </c>
      <c r="N29" s="160">
        <f>L29*K29</f>
        <v/>
      </c>
      <c r="O29" s="161" t="n">
        <v>1298</v>
      </c>
      <c r="P29" s="162">
        <f>O29*4</f>
        <v/>
      </c>
      <c r="Q29" s="163">
        <f>O29*7</f>
        <v/>
      </c>
      <c r="R29" s="164" t="n">
        <v>5040</v>
      </c>
      <c r="S29" s="165" t="n">
        <v>0</v>
      </c>
      <c r="T29" s="166" t="n">
        <v>0</v>
      </c>
      <c r="U29" s="165">
        <f>R29+S29+T29</f>
        <v/>
      </c>
      <c r="V29" s="165">
        <f>ROUND((U29+K29)/O29,0)</f>
        <v/>
      </c>
      <c r="W29" s="167">
        <f>ROUND(U29/O29,0)</f>
        <v/>
      </c>
    </row>
    <row r="30" ht="84.59999999999999" customHeight="1">
      <c r="A30" s="147" t="inlineStr">
        <is>
          <t>MGS-999M</t>
        </is>
      </c>
      <c r="B30" s="148" t="n"/>
      <c r="C30" s="149" t="n"/>
      <c r="D30" s="150" t="inlineStr"/>
      <c r="E30" s="151" t="inlineStr"/>
      <c r="F30" s="152" t="inlineStr"/>
      <c r="G30" s="153" t="n"/>
      <c r="H30" s="154">
        <f>ROUND((Q30-U30)/G30,0)</f>
        <v/>
      </c>
      <c r="I30" s="155">
        <f>H30*G30</f>
        <v/>
      </c>
      <c r="J30" s="156" t="n">
        <v>0</v>
      </c>
      <c r="K30" s="157">
        <f>I30+J30</f>
        <v/>
      </c>
      <c r="L30" s="158" t="n">
        <v>0.77</v>
      </c>
      <c r="M30" s="159" t="n">
        <v>4.62</v>
      </c>
      <c r="N30" s="160">
        <f>L30*K30</f>
        <v/>
      </c>
      <c r="O30" s="161" t="n">
        <v>3</v>
      </c>
      <c r="P30" s="162">
        <f>O30*4</f>
        <v/>
      </c>
      <c r="Q30" s="163">
        <f>O30*7</f>
        <v/>
      </c>
      <c r="R30" s="164" t="n">
        <v>0</v>
      </c>
      <c r="S30" s="165" t="n">
        <v>0</v>
      </c>
      <c r="T30" s="166" t="n">
        <v>0</v>
      </c>
      <c r="U30" s="165">
        <f>R30+S30+T30</f>
        <v/>
      </c>
      <c r="V30" s="165">
        <f>ROUND((U30+K30)/O30,0)</f>
        <v/>
      </c>
      <c r="W30" s="167">
        <f>ROUND(U30/O30,0)</f>
        <v/>
      </c>
      <c r="X30" t="inlineStr">
        <is>
          <t>QTY PER CARTON is missing. Please update product catalog or supplier in EXPRESS</t>
        </is>
      </c>
    </row>
    <row r="31" ht="84.59999999999999" customHeight="1">
      <c r="A31" s="147" t="inlineStr">
        <is>
          <t>NR123-48</t>
        </is>
      </c>
      <c r="B31" s="148" t="n"/>
      <c r="C31" s="149" t="inlineStr">
        <is>
          <t>HOSE</t>
        </is>
      </c>
      <c r="D31" s="150" t="n"/>
      <c r="E31" s="151" t="n"/>
      <c r="F31" s="152" t="n"/>
      <c r="G31" s="153" t="n">
        <v>80</v>
      </c>
      <c r="H31" s="154">
        <f>ROUND((Q31-U31)/G31,0)</f>
        <v/>
      </c>
      <c r="I31" s="155">
        <f>H31*G31</f>
        <v/>
      </c>
      <c r="J31" s="156" t="n">
        <v>0</v>
      </c>
      <c r="K31" s="157">
        <f>I31+J31</f>
        <v/>
      </c>
      <c r="L31" s="158" t="n">
        <v>6.91</v>
      </c>
      <c r="M31" s="159" t="n">
        <v>41.46</v>
      </c>
      <c r="N31" s="160">
        <f>L31*K31</f>
        <v/>
      </c>
      <c r="O31" s="161" t="n">
        <v>137</v>
      </c>
      <c r="P31" s="162">
        <f>O31*4</f>
        <v/>
      </c>
      <c r="Q31" s="163">
        <f>O31*7</f>
        <v/>
      </c>
      <c r="R31" s="164" t="n">
        <v>285</v>
      </c>
      <c r="S31" s="165" t="n">
        <v>0</v>
      </c>
      <c r="T31" s="166" t="n">
        <v>0</v>
      </c>
      <c r="U31" s="165">
        <f>R31+S31+T31</f>
        <v/>
      </c>
      <c r="V31" s="165">
        <f>ROUND((U31+K31)/O31,0)</f>
        <v/>
      </c>
      <c r="W31" s="167">
        <f>ROUND(U31/O31,0)</f>
        <v/>
      </c>
    </row>
    <row r="32" ht="84.59999999999999" customHeight="1">
      <c r="A32" s="147" t="inlineStr">
        <is>
          <t>WP-TG120</t>
        </is>
      </c>
      <c r="B32" s="148" t="n"/>
      <c r="C32" s="149" t="inlineStr">
        <is>
          <t>HOSE</t>
        </is>
      </c>
      <c r="D32" s="150" t="n"/>
      <c r="E32" s="151" t="n"/>
      <c r="F32" s="152" t="n"/>
      <c r="G32" s="153" t="n"/>
      <c r="H32" s="154">
        <f>ROUND((Q32-U32)/G32,0)</f>
        <v/>
      </c>
      <c r="I32" s="155">
        <f>H32*G32</f>
        <v/>
      </c>
      <c r="J32" s="156" t="n">
        <v>0</v>
      </c>
      <c r="K32" s="157">
        <f>I32+J32</f>
        <v/>
      </c>
      <c r="L32" s="158" t="n">
        <v>8.5</v>
      </c>
      <c r="M32" s="159" t="n">
        <v>51</v>
      </c>
      <c r="N32" s="160">
        <f>L32*K32</f>
        <v/>
      </c>
      <c r="O32" s="161" t="n">
        <v>148</v>
      </c>
      <c r="P32" s="162">
        <f>O32*4</f>
        <v/>
      </c>
      <c r="Q32" s="163">
        <f>O32*7</f>
        <v/>
      </c>
      <c r="R32" s="164" t="n">
        <v>572</v>
      </c>
      <c r="S32" s="165" t="n">
        <v>0</v>
      </c>
      <c r="T32" s="166" t="n">
        <v>0</v>
      </c>
      <c r="U32" s="165">
        <f>R32+S32+T32</f>
        <v/>
      </c>
      <c r="V32" s="165">
        <f>ROUND((U32+K32)/O32,0)</f>
        <v/>
      </c>
      <c r="W32" s="167">
        <f>ROUND(U32/O32,0)</f>
        <v/>
      </c>
      <c r="X32" t="inlineStr">
        <is>
          <t>QTY PER CARTON is missing. Please update product catalog or supplier in EXPRESS</t>
        </is>
      </c>
    </row>
    <row r="33" ht="36" customFormat="1" customHeight="1" s="139">
      <c r="A33" s="65" t="n"/>
      <c r="B33" s="66" t="n"/>
      <c r="C33" s="67" t="n"/>
      <c r="D33" s="68" t="n"/>
      <c r="E33" s="68" t="n"/>
      <c r="F33" s="68" t="n"/>
      <c r="G33" s="92" t="n"/>
      <c r="H33" s="93">
        <f>SUM(H9:H32)</f>
        <v/>
      </c>
      <c r="I33" s="117" t="n"/>
      <c r="J33" s="117" t="n"/>
      <c r="K33" s="118">
        <f>SUM(K9:K32)</f>
        <v/>
      </c>
      <c r="L33" s="111" t="n"/>
      <c r="M33" s="112" t="inlineStr">
        <is>
          <t>TOTAL AMOUNT CNY</t>
        </is>
      </c>
      <c r="N33" s="170">
        <f>SUM(N9:N32)</f>
        <v/>
      </c>
      <c r="O33" s="78" t="n"/>
      <c r="P33" s="78" t="n"/>
      <c r="Q33" s="79" t="n"/>
      <c r="R33" s="139" t="n"/>
      <c r="S33" s="139" t="n"/>
      <c r="T33" s="69" t="n"/>
      <c r="U33" s="69" t="n"/>
      <c r="V33" s="52" t="n"/>
      <c r="W33" s="52" t="n"/>
    </row>
    <row r="34" ht="31.5" customFormat="1" customHeight="1" s="139">
      <c r="A34" s="139" t="n"/>
      <c r="B34" s="139" t="n"/>
      <c r="C34" s="74" t="n"/>
      <c r="D34" s="75" t="n"/>
      <c r="E34" s="139" t="n"/>
      <c r="F34" s="75" t="n"/>
      <c r="G34" s="98" t="n"/>
      <c r="H34" s="98" t="n"/>
      <c r="I34" s="99" t="n"/>
      <c r="J34" s="99" t="n"/>
      <c r="K34" s="108" t="n"/>
      <c r="L34" s="111" t="n"/>
      <c r="M34" s="115" t="inlineStr">
        <is>
          <t>EXC RATE</t>
        </is>
      </c>
      <c r="N34" s="171" t="n">
        <v>6</v>
      </c>
      <c r="O34" s="78" t="n"/>
      <c r="P34" s="78" t="n"/>
      <c r="Q34" s="79" t="n"/>
      <c r="R34" s="139" t="n"/>
      <c r="S34" s="139" t="n"/>
      <c r="T34" s="69" t="n"/>
      <c r="U34" s="69" t="n"/>
      <c r="V34" s="52" t="n"/>
      <c r="W34" s="52" t="n"/>
    </row>
    <row r="35" ht="30" customFormat="1" customHeight="1" s="139">
      <c r="G35" s="100" t="n"/>
      <c r="H35" s="100" t="n"/>
      <c r="I35" s="101" t="n"/>
      <c r="J35" s="101" t="n"/>
      <c r="L35" s="113" t="n"/>
      <c r="M35" s="114" t="inlineStr">
        <is>
          <t>TOTAL AMOUNT THB</t>
        </is>
      </c>
      <c r="N35" s="172">
        <f>N34*N33</f>
        <v/>
      </c>
    </row>
    <row r="36" ht="17.4" customFormat="1" customHeight="1" s="139"/>
    <row r="37" ht="17.4" customFormat="1" customHeight="1" s="139"/>
    <row r="38" ht="17.4" customFormat="1" customHeight="1" s="139"/>
    <row r="39" ht="17.4" customFormat="1" customHeight="1" s="139"/>
    <row r="40" ht="17.4" customFormat="1" customHeight="1" s="139"/>
    <row r="41" ht="17.4" customFormat="1" customHeight="1" s="139"/>
    <row r="42" ht="17.4" customFormat="1" customHeight="1" s="139"/>
    <row r="43" ht="17.4" customFormat="1" customHeight="1" s="139"/>
    <row r="44" ht="17.4" customFormat="1" customHeight="1" s="139"/>
    <row r="45" ht="17.4" customFormat="1" customHeight="1" s="139"/>
    <row r="46" ht="17.4" customFormat="1" customHeight="1" s="139"/>
    <row r="47" ht="17.4" customFormat="1" customHeight="1" s="139"/>
    <row r="48" ht="17.4" customFormat="1" customHeight="1" s="139"/>
    <row r="49" ht="17.4" customFormat="1" customHeight="1" s="139"/>
    <row r="50" ht="17.4" customFormat="1" customHeight="1" s="139"/>
    <row r="51" ht="17.4" customFormat="1" customHeight="1" s="139"/>
    <row r="52" ht="17.4" customFormat="1" customHeight="1" s="139"/>
    <row r="53" ht="17.4" customFormat="1" customHeight="1" s="139"/>
    <row r="54" ht="17.4" customFormat="1" customHeight="1" s="139"/>
    <row r="55" ht="17.4" customFormat="1" customHeight="1" s="139"/>
    <row r="56" ht="17.4" customFormat="1" customHeight="1" s="139"/>
    <row r="57" ht="17.4" customFormat="1" customHeight="1" s="139"/>
    <row r="58" ht="17.4" customFormat="1" customHeight="1" s="139"/>
    <row r="59" ht="17.4" customFormat="1" customHeight="1" s="139"/>
    <row r="60" ht="17.4" customFormat="1" customHeight="1" s="139"/>
    <row r="61" ht="17.4" customFormat="1" customHeight="1" s="139"/>
    <row r="62" ht="17.4" customFormat="1" customHeight="1" s="139"/>
    <row r="63" ht="17.4" customFormat="1" customHeight="1" s="139"/>
    <row r="64" ht="17.4" customFormat="1" customHeight="1" s="139"/>
    <row r="65" ht="34.95" customFormat="1" customHeight="1" s="139"/>
    <row r="66" ht="17.4" customFormat="1" customHeight="1" s="139"/>
    <row r="67" ht="17.4" customFormat="1" customHeight="1" s="139"/>
    <row r="68" ht="17.4" customFormat="1" customHeight="1" s="139"/>
    <row r="69" ht="17.4" customFormat="1" customHeight="1" s="139"/>
    <row r="70" ht="17.4" customFormat="1" customHeight="1" s="139"/>
    <row r="71" ht="17.4" customFormat="1" customHeight="1" s="139"/>
    <row r="72" ht="17.4" customFormat="1" customHeight="1" s="139"/>
    <row r="73" ht="17.4" customFormat="1" customHeight="1" s="139"/>
    <row r="74" ht="17.4" customFormat="1" customHeight="1" s="139"/>
    <row r="75" ht="17.4" customFormat="1" customHeight="1" s="139"/>
    <row r="76" ht="17.4" customFormat="1" customHeight="1" s="139"/>
    <row r="77" ht="17.4" customFormat="1" customHeight="1" s="139"/>
    <row r="78" ht="17.4" customFormat="1" customHeight="1" s="139"/>
    <row r="79" ht="17.4" customFormat="1" customHeight="1" s="139"/>
    <row r="80" ht="17.4" customFormat="1" customHeight="1" s="139"/>
    <row r="81" ht="17.4" customFormat="1" customHeight="1" s="139"/>
    <row r="82" ht="17.4" customFormat="1" customHeight="1" s="139"/>
    <row r="83" ht="17.4" customFormat="1" customHeight="1" s="139"/>
    <row r="84" ht="17.4" customFormat="1" customHeight="1" s="139"/>
    <row r="85" ht="17.4" customFormat="1" customHeight="1" s="139"/>
    <row r="86" ht="17.4" customFormat="1" customHeight="1" s="139"/>
    <row r="87" ht="17.4" customFormat="1" customHeight="1" s="139"/>
    <row r="88" ht="17.4" customFormat="1" customHeight="1" s="139"/>
    <row r="89" ht="17.4" customFormat="1" customHeight="1" s="139"/>
    <row r="90" ht="17.4" customFormat="1" customHeight="1" s="139"/>
    <row r="91" ht="17.4" customFormat="1" customHeight="1" s="139"/>
    <row r="92" ht="17.4" customFormat="1" customHeight="1" s="139"/>
    <row r="93" ht="17.4" customFormat="1" customHeight="1" s="139"/>
    <row r="94" ht="17.4" customFormat="1" customHeight="1" s="139"/>
    <row r="95" ht="17.4" customFormat="1" customHeight="1" s="139"/>
    <row r="96" ht="17.4" customFormat="1" customHeight="1" s="139"/>
    <row r="97" ht="17.4" customFormat="1" customHeight="1" s="139"/>
    <row r="98" ht="17.4" customFormat="1" customHeight="1" s="139"/>
    <row r="99" ht="17.4" customFormat="1" customHeight="1" s="139"/>
    <row r="100" ht="17.4" customFormat="1" customHeight="1" s="139"/>
    <row r="101" ht="17.4" customFormat="1" customHeight="1" s="139"/>
    <row r="102" ht="17.4" customFormat="1" customHeight="1" s="139"/>
    <row r="103" ht="17.4" customFormat="1" customHeight="1" s="139"/>
    <row r="104" ht="17.4" customFormat="1" customHeight="1" s="139"/>
    <row r="105" ht="17.4" customFormat="1" customHeight="1" s="139"/>
    <row r="106" ht="17.4" customFormat="1" customHeight="1" s="139"/>
    <row r="107" ht="17.4" customFormat="1" customHeight="1" s="139"/>
    <row r="108" ht="17.4" customFormat="1" customHeight="1" s="139"/>
    <row r="109" ht="17.4" customFormat="1" customHeight="1" s="139"/>
    <row r="110" ht="17.4" customFormat="1" customHeight="1" s="139"/>
    <row r="111" ht="17.4" customFormat="1" customHeight="1" s="139"/>
    <row r="112" ht="17.4" customFormat="1" customHeight="1" s="139"/>
    <row r="113" ht="17.4" customFormat="1" customHeight="1" s="139"/>
    <row r="114" ht="17.4" customFormat="1" customHeight="1" s="139"/>
    <row r="115" ht="17.4" customFormat="1" customHeight="1" s="139"/>
    <row r="116" ht="17.4" customFormat="1" customHeight="1" s="139"/>
    <row r="117" ht="17.4" customFormat="1" customHeight="1" s="139"/>
    <row r="118" ht="17.4" customFormat="1" customHeight="1" s="139"/>
    <row r="119" ht="17.4" customFormat="1" customHeight="1" s="139"/>
    <row r="120" ht="17.4" customFormat="1" customHeight="1" s="139"/>
    <row r="121" ht="17.4" customFormat="1" customHeight="1" s="139"/>
    <row r="122" ht="17.4" customFormat="1" customHeight="1" s="139"/>
    <row r="123" ht="17.4" customFormat="1" customHeight="1" s="139"/>
    <row r="124" ht="17.4" customFormat="1" customHeight="1" s="139"/>
    <row r="125" ht="17.4" customFormat="1" customHeight="1" s="139"/>
    <row r="126" ht="17.4" customFormat="1" customHeight="1" s="139"/>
    <row r="127" ht="17.4" customFormat="1" customHeight="1" s="139"/>
    <row r="128" ht="17.4" customFormat="1" customHeight="1" s="139"/>
    <row r="129" ht="17.4" customFormat="1" customHeight="1" s="139"/>
    <row r="130" ht="17.4" customFormat="1" customHeight="1" s="139"/>
    <row r="131" ht="17.4" customFormat="1" customHeight="1" s="139"/>
    <row r="132" ht="17.4" customFormat="1" customHeight="1" s="139"/>
    <row r="133" ht="17.4" customFormat="1" customHeight="1" s="139"/>
    <row r="134" ht="17.4" customFormat="1" customHeight="1" s="139"/>
    <row r="135" ht="17.4" customFormat="1" customHeight="1" s="139"/>
    <row r="136" ht="17.4" customFormat="1" customHeight="1" s="139"/>
    <row r="137" ht="17.4" customFormat="1" customHeight="1" s="139"/>
    <row r="138" ht="17.4" customFormat="1" customHeight="1" s="139"/>
    <row r="139" ht="17.4" customFormat="1" customHeight="1" s="139"/>
    <row r="140" ht="17.4" customFormat="1" customHeight="1" s="139"/>
    <row r="141" ht="17.4" customFormat="1" customHeight="1" s="139"/>
    <row r="142" ht="17.4" customFormat="1" customHeight="1" s="139"/>
    <row r="143" ht="17.4" customFormat="1" customHeight="1" s="139"/>
    <row r="144" ht="17.4" customFormat="1" customHeight="1" s="139"/>
    <row r="145" ht="17.4" customFormat="1" customHeight="1" s="139"/>
    <row r="146" ht="17.4" customFormat="1" customHeight="1" s="139"/>
    <row r="147" ht="17.4" customFormat="1" customHeight="1" s="139"/>
    <row r="148" ht="17.4" customFormat="1" customHeight="1" s="139"/>
    <row r="149" ht="17.4" customFormat="1" customHeight="1" s="139"/>
    <row r="150" ht="17.4" customFormat="1" customHeight="1" s="139"/>
    <row r="151" ht="17.4" customFormat="1" customHeight="1" s="139"/>
    <row r="152" ht="17.4" customFormat="1" customHeight="1" s="139"/>
    <row r="153" ht="17.4" customFormat="1" customHeight="1" s="139"/>
    <row r="154" ht="17.4" customFormat="1" customHeight="1" s="139"/>
    <row r="155" ht="17.4" customFormat="1" customHeight="1" s="139"/>
    <row r="156" ht="17.4" customFormat="1" customHeight="1" s="139"/>
    <row r="157" ht="17.4" customFormat="1" customHeight="1" s="139"/>
    <row r="158" ht="17.4" customFormat="1" customHeight="1" s="139"/>
    <row r="159" ht="17.4" customFormat="1" customHeight="1" s="139"/>
    <row r="160" ht="17.4" customFormat="1" customHeight="1" s="139"/>
    <row r="161" ht="17.4" customFormat="1" customHeight="1" s="139"/>
    <row r="162" ht="17.4" customFormat="1" customHeight="1" s="139"/>
    <row r="163" ht="17.4" customFormat="1" customHeight="1" s="139"/>
    <row r="164" ht="17.4" customFormat="1" customHeight="1" s="139"/>
    <row r="165" ht="17.4" customFormat="1" customHeight="1" s="139"/>
    <row r="166" ht="17.4" customFormat="1" customHeight="1" s="139"/>
    <row r="167" ht="17.4" customFormat="1" customHeight="1" s="139"/>
    <row r="168" ht="17.4" customFormat="1" customHeight="1" s="139"/>
    <row r="169" ht="17.4" customFormat="1" customHeight="1" s="139"/>
    <row r="170" ht="17.4" customFormat="1" customHeight="1" s="139"/>
    <row r="171" ht="17.4" customFormat="1" customHeight="1" s="139"/>
    <row r="172" ht="17.4" customFormat="1" customHeight="1" s="139"/>
    <row r="173" ht="17.4" customFormat="1" customHeight="1" s="139"/>
    <row r="174" ht="17.4" customFormat="1" customHeight="1" s="139"/>
    <row r="175" ht="17.4" customFormat="1" customHeight="1" s="139"/>
    <row r="176" ht="17.4" customFormat="1" customHeight="1" s="139"/>
    <row r="177" ht="17.4" customFormat="1" customHeight="1" s="139"/>
    <row r="178" ht="17.4" customFormat="1" customHeight="1" s="139"/>
    <row r="179" ht="17.4" customFormat="1" customHeight="1" s="139"/>
    <row r="180" ht="17.4" customFormat="1" customHeight="1" s="139"/>
    <row r="181" ht="17.4" customFormat="1" customHeight="1" s="139"/>
    <row r="182" ht="17.4" customFormat="1" customHeight="1" s="139"/>
    <row r="183" ht="17.4" customFormat="1" customHeight="1" s="139"/>
    <row r="184" ht="17.4" customFormat="1" customHeight="1" s="139"/>
    <row r="185" ht="17.4" customFormat="1" customHeight="1" s="139"/>
    <row r="186" ht="17.4" customFormat="1" customHeight="1" s="139"/>
    <row r="187" ht="17.4" customFormat="1" customHeight="1" s="139"/>
    <row r="188" ht="17.4" customFormat="1" customHeight="1" s="139"/>
    <row r="189" ht="17.4" customFormat="1" customHeight="1" s="139"/>
    <row r="190" ht="17.4" customFormat="1" customHeight="1" s="139"/>
    <row r="191" ht="17.4" customFormat="1" customHeight="1" s="139"/>
    <row r="192" ht="17.4" customFormat="1" customHeight="1" s="139"/>
    <row r="193" ht="17.4" customFormat="1" customHeight="1" s="139"/>
    <row r="194" ht="17.4" customFormat="1" customHeight="1" s="139"/>
    <row r="195" ht="17.4" customFormat="1" customHeight="1" s="139"/>
    <row r="196" ht="17.4" customFormat="1" customHeight="1" s="139"/>
    <row r="197" ht="17.4" customFormat="1" customHeight="1" s="139"/>
    <row r="198" ht="17.4" customFormat="1" customHeight="1" s="139"/>
    <row r="199" ht="17.4" customFormat="1" customHeight="1" s="139"/>
    <row r="200" ht="17.4" customFormat="1" customHeight="1" s="139"/>
    <row r="201" ht="17.4" customFormat="1" customHeight="1" s="139"/>
    <row r="202" ht="17.4" customFormat="1" customHeight="1" s="139"/>
    <row r="203" ht="17.4" customFormat="1" customHeight="1" s="139"/>
    <row r="204" ht="17.4" customFormat="1" customHeight="1" s="139"/>
    <row r="205" ht="17.4" customFormat="1" customHeight="1" s="139"/>
    <row r="206" ht="17.4" customFormat="1" customHeight="1" s="139"/>
    <row r="207" ht="17.4" customFormat="1" customHeight="1" s="139"/>
    <row r="208" ht="17.4" customFormat="1" customHeight="1" s="139"/>
    <row r="209" ht="17.4" customFormat="1" customHeight="1" s="139"/>
    <row r="210" ht="17.4" customFormat="1" customHeight="1" s="139"/>
    <row r="211" ht="17.4" customFormat="1" customHeight="1" s="139"/>
    <row r="212" ht="17.4" customFormat="1" customHeight="1" s="139"/>
    <row r="213" ht="17.4" customFormat="1" customHeight="1" s="139"/>
    <row r="214" ht="17.4" customFormat="1" customHeight="1" s="139"/>
    <row r="215" ht="17.4" customFormat="1" customHeight="1" s="139"/>
    <row r="216" ht="17.4" customFormat="1" customHeight="1" s="139"/>
    <row r="217" ht="17.4" customFormat="1" customHeight="1" s="139"/>
    <row r="218" ht="17.4" customFormat="1" customHeight="1" s="139"/>
    <row r="219" ht="17.4" customFormat="1" customHeight="1" s="139"/>
    <row r="220" ht="17.4" customFormat="1" customHeight="1" s="139"/>
    <row r="221" ht="17.4" customFormat="1" customHeight="1" s="139"/>
    <row r="222" ht="17.4" customFormat="1" customHeight="1" s="139"/>
    <row r="223" ht="17.4" customFormat="1" customHeight="1" s="139"/>
    <row r="224" ht="17.4" customFormat="1" customHeight="1" s="139"/>
    <row r="225" ht="17.4" customFormat="1" customHeight="1" s="139"/>
    <row r="226" ht="17.4" customFormat="1" customHeight="1" s="139"/>
    <row r="227" ht="17.4" customFormat="1" customHeight="1" s="139"/>
    <row r="228" ht="17.4" customFormat="1" customHeight="1" s="139"/>
    <row r="229" ht="17.4" customFormat="1" customHeight="1" s="139"/>
    <row r="230" ht="17.4" customFormat="1" customHeight="1" s="139"/>
    <row r="231" ht="17.4" customFormat="1" customHeight="1" s="139"/>
    <row r="232" ht="17.4" customFormat="1" customHeight="1" s="139"/>
    <row r="233" ht="17.4" customFormat="1" customHeight="1" s="139"/>
    <row r="234" ht="17.4" customFormat="1" customHeight="1" s="139"/>
    <row r="235" ht="17.4" customFormat="1" customHeight="1" s="139"/>
    <row r="236" ht="17.4" customFormat="1" customHeight="1" s="139"/>
    <row r="237" ht="17.4" customFormat="1" customHeight="1" s="139"/>
    <row r="238" ht="17.4" customFormat="1" customHeight="1" s="139"/>
    <row r="239" ht="17.4" customFormat="1" customHeight="1" s="139"/>
    <row r="240" ht="17.4" customFormat="1" customHeight="1" s="139"/>
    <row r="241" ht="17.4" customFormat="1" customHeight="1" s="139"/>
    <row r="242" ht="17.4" customFormat="1" customHeight="1" s="139"/>
    <row r="243" ht="17.4" customFormat="1" customHeight="1" s="139"/>
    <row r="244" ht="17.4" customFormat="1" customHeight="1" s="139"/>
    <row r="245" ht="17.4" customFormat="1" customHeight="1" s="139"/>
    <row r="246" ht="17.4" customFormat="1" customHeight="1" s="139"/>
    <row r="247" ht="17.4" customFormat="1" customHeight="1" s="139"/>
    <row r="248" ht="17.4" customFormat="1" customHeight="1" s="139"/>
    <row r="249" ht="17.4" customFormat="1" customHeight="1" s="139"/>
    <row r="250" ht="17.4" customFormat="1" customHeight="1" s="139"/>
    <row r="251" ht="17.4" customFormat="1" customHeight="1" s="139"/>
    <row r="252" ht="17.4" customFormat="1" customHeight="1" s="139"/>
    <row r="253" ht="17.4" customFormat="1" customHeight="1" s="139"/>
    <row r="254" ht="17.4" customFormat="1" customHeight="1" s="139"/>
    <row r="255" ht="17.4" customFormat="1" customHeight="1" s="139"/>
    <row r="256" ht="17.4" customFormat="1" customHeight="1" s="139"/>
    <row r="257" ht="17.4" customFormat="1" customHeight="1" s="139"/>
    <row r="258" ht="17.4" customFormat="1" customHeight="1" s="139"/>
    <row r="259" ht="17.4" customFormat="1" customHeight="1" s="139"/>
    <row r="260" ht="17.4" customFormat="1" customHeight="1" s="139"/>
    <row r="261" ht="17.4" customFormat="1" customHeight="1" s="139"/>
    <row r="262" ht="17.4" customFormat="1" customHeight="1" s="139"/>
    <row r="263" ht="17.4" customFormat="1" customHeight="1" s="139"/>
    <row r="264" ht="17.4" customFormat="1" customHeight="1" s="139"/>
    <row r="265" ht="17.4" customFormat="1" customHeight="1" s="139"/>
    <row r="266" ht="17.4" customFormat="1" customHeight="1" s="139"/>
    <row r="267" ht="17.4" customFormat="1" customHeight="1" s="139"/>
    <row r="268" ht="17.4" customFormat="1" customHeight="1" s="139"/>
    <row r="269" ht="17.4" customFormat="1" customHeight="1" s="139"/>
    <row r="270" ht="17.4" customFormat="1" customHeight="1" s="139"/>
    <row r="271" ht="17.4" customFormat="1" customHeight="1" s="139"/>
    <row r="272" ht="17.4" customFormat="1" customHeight="1" s="139"/>
    <row r="273" ht="17.4" customFormat="1" customHeight="1" s="139"/>
    <row r="274" ht="17.4" customFormat="1" customHeight="1" s="139"/>
    <row r="275" ht="17.4" customFormat="1" customHeight="1" s="139"/>
    <row r="276" ht="17.4" customFormat="1" customHeight="1" s="139"/>
    <row r="277" ht="17.4" customFormat="1" customHeight="1" s="139"/>
    <row r="278" ht="17.4" customFormat="1" customHeight="1" s="139"/>
    <row r="279" ht="17.4" customFormat="1" customHeight="1" s="139"/>
    <row r="280" ht="17.4" customFormat="1" customHeight="1" s="139"/>
    <row r="281" ht="17.4" customFormat="1" customHeight="1" s="139"/>
    <row r="282" ht="17.4" customFormat="1" customHeight="1" s="139"/>
    <row r="283" ht="17.4" customFormat="1" customHeight="1" s="139"/>
    <row r="284" ht="17.4" customFormat="1" customHeight="1" s="139"/>
    <row r="285" ht="17.4" customFormat="1" customHeight="1" s="139"/>
    <row r="286" ht="17.4" customFormat="1" customHeight="1" s="139"/>
    <row r="287" ht="17.4" customFormat="1" customHeight="1" s="139"/>
    <row r="288" ht="17.4" customFormat="1" customHeight="1" s="139"/>
    <row r="289" ht="17.4" customFormat="1" customHeight="1" s="139"/>
    <row r="290" ht="17.4" customFormat="1" customHeight="1" s="139"/>
    <row r="291" ht="17.4" customFormat="1" customHeight="1" s="139"/>
    <row r="292" ht="17.4" customFormat="1" customHeight="1" s="139"/>
    <row r="293" ht="17.4" customFormat="1" customHeight="1" s="139"/>
    <row r="294" ht="17.4" customFormat="1" customHeight="1" s="139"/>
    <row r="295" ht="17.4" customFormat="1" customHeight="1" s="139"/>
    <row r="296" ht="17.4" customFormat="1" customHeight="1" s="139"/>
    <row r="297" ht="17.4" customFormat="1" customHeight="1" s="139"/>
    <row r="298" ht="17.4" customFormat="1" customHeight="1" s="139"/>
    <row r="299" ht="17.4" customFormat="1" customHeight="1" s="139"/>
    <row r="300" ht="17.4" customFormat="1" customHeight="1" s="139"/>
    <row r="301" ht="17.4" customFormat="1" customHeight="1" s="139"/>
    <row r="302" ht="17.4" customFormat="1" customHeight="1" s="139"/>
    <row r="303" ht="17.4" customFormat="1" customHeight="1" s="139"/>
    <row r="304" ht="17.4" customFormat="1" customHeight="1" s="139"/>
    <row r="305" ht="17.4" customFormat="1" customHeight="1" s="139"/>
    <row r="306" ht="17.4" customFormat="1" customHeight="1" s="139"/>
    <row r="307" ht="17.4" customFormat="1" customHeight="1" s="139"/>
    <row r="308" ht="17.4" customFormat="1" customHeight="1" s="139"/>
    <row r="309" ht="17.4" customFormat="1" customHeight="1" s="139"/>
    <row r="310" ht="17.4" customFormat="1" customHeight="1" s="139"/>
    <row r="311" ht="17.4" customFormat="1" customHeight="1" s="139"/>
    <row r="312" ht="17.4" customFormat="1" customHeight="1" s="139"/>
    <row r="313" ht="17.4" customFormat="1" customHeight="1" s="139"/>
    <row r="314" ht="17.4" customFormat="1" customHeight="1" s="139"/>
    <row r="315" ht="17.4" customFormat="1" customHeight="1" s="139"/>
    <row r="316" ht="17.4" customFormat="1" customHeight="1" s="139"/>
    <row r="317" ht="17.4" customFormat="1" customHeight="1" s="139"/>
    <row r="318" ht="17.4" customFormat="1" customHeight="1" s="139"/>
    <row r="319" ht="17.4" customFormat="1" customHeight="1" s="139"/>
    <row r="320" ht="17.4" customFormat="1" customHeight="1" s="139"/>
    <row r="321" ht="17.4" customFormat="1" customHeight="1" s="139"/>
    <row r="322" ht="17.4" customFormat="1" customHeight="1" s="139"/>
    <row r="323" ht="17.4" customFormat="1" customHeight="1" s="139"/>
    <row r="324" ht="17.4" customFormat="1" customHeight="1" s="139"/>
    <row r="325" ht="17.4" customFormat="1" customHeight="1" s="139"/>
    <row r="326" ht="17.4" customFormat="1" customHeight="1" s="139"/>
    <row r="327" ht="17.4" customFormat="1" customHeight="1" s="139"/>
    <row r="328" ht="17.4" customFormat="1" customHeight="1" s="139"/>
    <row r="329" ht="17.4" customFormat="1" customHeight="1" s="139"/>
    <row r="330" ht="17.4" customFormat="1" customHeight="1" s="139"/>
    <row r="331" ht="17.4" customFormat="1" customHeight="1" s="139"/>
    <row r="332" ht="17.4" customFormat="1" customHeight="1" s="139"/>
    <row r="333" ht="17.4" customFormat="1" customHeight="1" s="139"/>
    <row r="334" ht="17.4" customFormat="1" customHeight="1" s="139"/>
    <row r="335" ht="17.4" customFormat="1" customHeight="1" s="139"/>
    <row r="336" ht="17.4" customFormat="1" customHeight="1" s="139"/>
    <row r="337" ht="17.4" customFormat="1" customHeight="1" s="139"/>
    <row r="338" ht="17.4" customFormat="1" customHeight="1" s="139"/>
    <row r="339" ht="17.4" customFormat="1" customHeight="1" s="139"/>
    <row r="340" ht="17.4" customFormat="1" customHeight="1" s="139"/>
    <row r="341" ht="17.4" customFormat="1" customHeight="1" s="139"/>
    <row r="342" ht="17.4" customFormat="1" customHeight="1" s="139"/>
    <row r="343" ht="17.4" customFormat="1" customHeight="1" s="139"/>
    <row r="344" ht="17.4" customFormat="1" customHeight="1" s="139"/>
    <row r="345" ht="17.4" customFormat="1" customHeight="1" s="139"/>
    <row r="346" ht="17.4" customFormat="1" customHeight="1" s="139"/>
    <row r="347" ht="17.4" customFormat="1" customHeight="1" s="139"/>
    <row r="348" ht="17.4" customFormat="1" customHeight="1" s="139"/>
    <row r="349" ht="17.4" customFormat="1" customHeight="1" s="139"/>
    <row r="350" ht="17.4" customFormat="1" customHeight="1" s="139"/>
    <row r="351" ht="17.4" customFormat="1" customHeight="1" s="139"/>
    <row r="352" ht="17.4" customFormat="1" customHeight="1" s="139"/>
    <row r="353" ht="17.4" customFormat="1" customHeight="1" s="139"/>
    <row r="354" ht="17.4" customFormat="1" customHeight="1" s="139"/>
    <row r="355" ht="17.4" customFormat="1" customHeight="1" s="139"/>
    <row r="356" ht="17.4" customFormat="1" customHeight="1" s="139"/>
    <row r="357" ht="17.4" customFormat="1" customHeight="1" s="139"/>
    <row r="358" ht="17.4" customFormat="1" customHeight="1" s="139"/>
    <row r="359" ht="17.4" customFormat="1" customHeight="1" s="139"/>
    <row r="360" ht="17.4" customFormat="1" customHeight="1" s="139"/>
    <row r="361" ht="17.4" customFormat="1" customHeight="1" s="139"/>
    <row r="362" ht="17.4" customFormat="1" customHeight="1" s="139"/>
  </sheetData>
  <mergeCells count="2">
    <mergeCell ref="C1:F1"/>
    <mergeCell ref="A5:N5"/>
  </mergeCells>
  <printOptions horizontalCentered="1"/>
  <pageMargins left="0.14" right="0.12" top="0.36" bottom="0.36" header="0.3" footer="0.3"/>
  <pageSetup orientation="landscape" paperSize="9" scale="40" fitToHeight="0" verticalDpi="1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Nutwara Petcharat</dc:creator>
  <dcterms:created xmlns:dcterms="http://purl.org/dc/terms/" xmlns:xsi="http://www.w3.org/2001/XMLSchema-instance" xsi:type="dcterms:W3CDTF">2025-12-01T07:43:43Z</dcterms:created>
  <dcterms:modified xmlns:dcterms="http://purl.org/dc/terms/" xmlns:xsi="http://www.w3.org/2001/XMLSchema-instance" xsi:type="dcterms:W3CDTF">2026-01-08T10:17:38Z</dcterms:modified>
  <cp:lastModifiedBy>Kuntida Yookittichai</cp:lastModifiedBy>
  <cp:lastPrinted>2026-01-07T03:50:10Z</cp:lastPrinted>
</cp:coreProperties>
</file>